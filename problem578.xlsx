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sheu\Downloads\"/>
    </mc:Choice>
  </mc:AlternateContent>
  <xr:revisionPtr revIDLastSave="0" documentId="13_ncr:1_{75C56627-E973-4A67-8005-1567CEF7E70C}" xr6:coauthVersionLast="47" xr6:coauthVersionMax="47" xr10:uidLastSave="{00000000-0000-0000-0000-000000000000}"/>
  <bookViews>
    <workbookView xWindow="-108" yWindow="-108" windowWidth="23256" windowHeight="12456" firstSheet="1" activeTab="3" xr2:uid="{3D2EEB68-4B2E-4216-9356-7EABD31A9678}"/>
  </bookViews>
  <sheets>
    <sheet name="problem53" sheetId="1" r:id="rId1"/>
    <sheet name="工作表1" sheetId="2" r:id="rId2"/>
    <sheet name="工作表2" sheetId="3" r:id="rId3"/>
    <sheet name="工作表3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8" i="5" l="1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2" i="1"/>
  <c r="J22" i="1"/>
  <c r="I22" i="1"/>
  <c r="H22" i="1"/>
  <c r="K21" i="1"/>
  <c r="J21" i="1"/>
  <c r="I21" i="1"/>
  <c r="H21" i="1"/>
  <c r="K20" i="1"/>
  <c r="J20" i="1"/>
  <c r="I20" i="1"/>
  <c r="H20" i="1"/>
  <c r="G22" i="1"/>
  <c r="G21" i="1"/>
  <c r="G20" i="1"/>
  <c r="K19" i="1"/>
  <c r="J19" i="1"/>
  <c r="I19" i="1"/>
  <c r="H19" i="1"/>
  <c r="G19" i="1"/>
  <c r="K16" i="1"/>
  <c r="J16" i="1"/>
  <c r="I16" i="1"/>
  <c r="H16" i="1"/>
  <c r="K14" i="1"/>
  <c r="J14" i="1"/>
  <c r="I14" i="1"/>
  <c r="K13" i="1"/>
  <c r="J13" i="1"/>
  <c r="I13" i="1"/>
  <c r="H14" i="1"/>
  <c r="H13" i="1"/>
  <c r="D4" i="5"/>
  <c r="X2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Y2" i="1"/>
  <c r="AP63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P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K11" i="1"/>
  <c r="J11" i="1"/>
  <c r="I11" i="1"/>
  <c r="G11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B158" i="1"/>
  <c r="BB157" i="1"/>
  <c r="BB156" i="1"/>
  <c r="BB155" i="1"/>
  <c r="BB154" i="1"/>
  <c r="BB153" i="1"/>
  <c r="BB152" i="1"/>
  <c r="BB151" i="1"/>
  <c r="BB150" i="1"/>
  <c r="BB149" i="1"/>
  <c r="BB148" i="1"/>
  <c r="BB147" i="1"/>
  <c r="BB146" i="1"/>
  <c r="BB145" i="1"/>
  <c r="BB144" i="1"/>
  <c r="BB143" i="1"/>
  <c r="BB142" i="1"/>
  <c r="BB141" i="1"/>
  <c r="BB140" i="1"/>
  <c r="BB139" i="1"/>
  <c r="BB138" i="1"/>
  <c r="BB137" i="1"/>
  <c r="BB136" i="1"/>
  <c r="BB135" i="1"/>
  <c r="BB134" i="1"/>
  <c r="BB133" i="1"/>
  <c r="BB132" i="1"/>
  <c r="BB131" i="1"/>
  <c r="BB130" i="1"/>
  <c r="BB129" i="1"/>
  <c r="BB128" i="1"/>
  <c r="BB127" i="1"/>
  <c r="BB126" i="1"/>
  <c r="BB125" i="1"/>
  <c r="BB124" i="1"/>
  <c r="BB123" i="1"/>
  <c r="BB122" i="1"/>
  <c r="BB121" i="1"/>
  <c r="BB120" i="1"/>
  <c r="BB119" i="1"/>
  <c r="BB118" i="1"/>
  <c r="BB117" i="1"/>
  <c r="BB116" i="1"/>
  <c r="BB115" i="1"/>
  <c r="BB114" i="1"/>
  <c r="BB113" i="1"/>
  <c r="BB112" i="1"/>
  <c r="BB111" i="1"/>
  <c r="BB110" i="1"/>
  <c r="BB109" i="1"/>
  <c r="BB108" i="1"/>
  <c r="BB107" i="1"/>
  <c r="BB106" i="1"/>
  <c r="BB105" i="1"/>
  <c r="BB104" i="1"/>
  <c r="BB103" i="1"/>
  <c r="BB102" i="1"/>
  <c r="BB101" i="1"/>
  <c r="BB100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BB5" i="1"/>
  <c r="BB4" i="1"/>
  <c r="BB3" i="1"/>
  <c r="BB2" i="1"/>
  <c r="BA158" i="1"/>
  <c r="BA157" i="1"/>
  <c r="BA156" i="1"/>
  <c r="BA155" i="1"/>
  <c r="BA154" i="1"/>
  <c r="BA153" i="1"/>
  <c r="BA152" i="1"/>
  <c r="BA151" i="1"/>
  <c r="BA150" i="1"/>
  <c r="BA149" i="1"/>
  <c r="BA148" i="1"/>
  <c r="BA147" i="1"/>
  <c r="BA146" i="1"/>
  <c r="BA145" i="1"/>
  <c r="BA144" i="1"/>
  <c r="BA143" i="1"/>
  <c r="BA142" i="1"/>
  <c r="BA141" i="1"/>
  <c r="BA140" i="1"/>
  <c r="BA139" i="1"/>
  <c r="BA138" i="1"/>
  <c r="BA137" i="1"/>
  <c r="BA136" i="1"/>
  <c r="BA135" i="1"/>
  <c r="BA134" i="1"/>
  <c r="BA133" i="1"/>
  <c r="BA132" i="1"/>
  <c r="BA131" i="1"/>
  <c r="BA130" i="1"/>
  <c r="BA129" i="1"/>
  <c r="BA128" i="1"/>
  <c r="BA127" i="1"/>
  <c r="BA126" i="1"/>
  <c r="BA125" i="1"/>
  <c r="BA124" i="1"/>
  <c r="BA123" i="1"/>
  <c r="BA122" i="1"/>
  <c r="BA121" i="1"/>
  <c r="BA120" i="1"/>
  <c r="BA119" i="1"/>
  <c r="BA118" i="1"/>
  <c r="BA117" i="1"/>
  <c r="BA116" i="1"/>
  <c r="BA115" i="1"/>
  <c r="BA114" i="1"/>
  <c r="BA113" i="1"/>
  <c r="BA112" i="1"/>
  <c r="BA111" i="1"/>
  <c r="BA110" i="1"/>
  <c r="BA109" i="1"/>
  <c r="BA108" i="1"/>
  <c r="BA107" i="1"/>
  <c r="BA106" i="1"/>
  <c r="BA105" i="1"/>
  <c r="BA104" i="1"/>
  <c r="BA103" i="1"/>
  <c r="BA102" i="1"/>
  <c r="BA101" i="1"/>
  <c r="BA100" i="1"/>
  <c r="BA99" i="1"/>
  <c r="BA98" i="1"/>
  <c r="BA97" i="1"/>
  <c r="BA96" i="1"/>
  <c r="BA95" i="1"/>
  <c r="BA94" i="1"/>
  <c r="BA93" i="1"/>
  <c r="BA92" i="1"/>
  <c r="BA91" i="1"/>
  <c r="BA90" i="1"/>
  <c r="BA89" i="1"/>
  <c r="BA88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5" i="1"/>
  <c r="BA4" i="1"/>
  <c r="BA3" i="1"/>
  <c r="BA2" i="1"/>
  <c r="AZ159" i="1"/>
  <c r="AZ158" i="1"/>
  <c r="AZ157" i="1"/>
  <c r="AZ156" i="1"/>
  <c r="AZ155" i="1"/>
  <c r="AZ154" i="1"/>
  <c r="AZ153" i="1"/>
  <c r="AZ152" i="1"/>
  <c r="AZ151" i="1"/>
  <c r="AZ150" i="1"/>
  <c r="AZ149" i="1"/>
  <c r="AZ148" i="1"/>
  <c r="AZ147" i="1"/>
  <c r="AZ146" i="1"/>
  <c r="AZ145" i="1"/>
  <c r="AZ144" i="1"/>
  <c r="AZ143" i="1"/>
  <c r="AZ142" i="1"/>
  <c r="AZ141" i="1"/>
  <c r="AZ140" i="1"/>
  <c r="AZ139" i="1"/>
  <c r="AZ138" i="1"/>
  <c r="AZ137" i="1"/>
  <c r="AZ136" i="1"/>
  <c r="AZ135" i="1"/>
  <c r="AZ134" i="1"/>
  <c r="AZ133" i="1"/>
  <c r="AZ132" i="1"/>
  <c r="AZ131" i="1"/>
  <c r="AZ130" i="1"/>
  <c r="AZ129" i="1"/>
  <c r="AZ128" i="1"/>
  <c r="AZ127" i="1"/>
  <c r="AZ126" i="1"/>
  <c r="AZ125" i="1"/>
  <c r="AZ124" i="1"/>
  <c r="AZ123" i="1"/>
  <c r="AZ122" i="1"/>
  <c r="AZ121" i="1"/>
  <c r="AZ120" i="1"/>
  <c r="AZ119" i="1"/>
  <c r="AZ118" i="1"/>
  <c r="AZ117" i="1"/>
  <c r="AZ116" i="1"/>
  <c r="AZ115" i="1"/>
  <c r="AZ114" i="1"/>
  <c r="AZ113" i="1"/>
  <c r="AZ112" i="1"/>
  <c r="AZ111" i="1"/>
  <c r="AZ110" i="1"/>
  <c r="AZ109" i="1"/>
  <c r="AZ108" i="1"/>
  <c r="AZ107" i="1"/>
  <c r="AZ106" i="1"/>
  <c r="AZ105" i="1"/>
  <c r="AZ104" i="1"/>
  <c r="AZ103" i="1"/>
  <c r="AZ102" i="1"/>
  <c r="AZ101" i="1"/>
  <c r="AZ100" i="1"/>
  <c r="AZ99" i="1"/>
  <c r="AZ98" i="1"/>
  <c r="AZ97" i="1"/>
  <c r="AZ96" i="1"/>
  <c r="AZ95" i="1"/>
  <c r="AZ94" i="1"/>
  <c r="AZ93" i="1"/>
  <c r="AZ92" i="1"/>
  <c r="AZ91" i="1"/>
  <c r="AZ90" i="1"/>
  <c r="AZ89" i="1"/>
  <c r="AZ88" i="1"/>
  <c r="AZ87" i="1"/>
  <c r="AZ86" i="1"/>
  <c r="AZ85" i="1"/>
  <c r="AZ84" i="1"/>
  <c r="AZ83" i="1"/>
  <c r="AZ82" i="1"/>
  <c r="AZ81" i="1"/>
  <c r="AZ80" i="1"/>
  <c r="AZ79" i="1"/>
  <c r="AZ78" i="1"/>
  <c r="AZ77" i="1"/>
  <c r="AZ76" i="1"/>
  <c r="AZ75" i="1"/>
  <c r="AZ74" i="1"/>
  <c r="AZ73" i="1"/>
  <c r="AZ72" i="1"/>
  <c r="AZ7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Z6" i="1"/>
  <c r="AZ5" i="1"/>
  <c r="AZ4" i="1"/>
  <c r="AZ3" i="1"/>
  <c r="AZ2" i="1"/>
  <c r="AY158" i="1"/>
  <c r="AY157" i="1"/>
  <c r="AY156" i="1"/>
  <c r="AY155" i="1"/>
  <c r="AY154" i="1"/>
  <c r="AY153" i="1"/>
  <c r="AY152" i="1"/>
  <c r="AY151" i="1"/>
  <c r="AY150" i="1"/>
  <c r="AY149" i="1"/>
  <c r="AY148" i="1"/>
  <c r="AY147" i="1"/>
  <c r="AY146" i="1"/>
  <c r="AY145" i="1"/>
  <c r="AY144" i="1"/>
  <c r="AY143" i="1"/>
  <c r="AY142" i="1"/>
  <c r="AY141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7" i="1"/>
  <c r="AY126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X158" i="1"/>
  <c r="AX157" i="1"/>
  <c r="AX156" i="1"/>
  <c r="AX155" i="1"/>
  <c r="AX154" i="1"/>
  <c r="AX153" i="1"/>
  <c r="AX152" i="1"/>
  <c r="AX151" i="1"/>
  <c r="AX150" i="1"/>
  <c r="AX149" i="1"/>
  <c r="AX148" i="1"/>
  <c r="AX147" i="1"/>
  <c r="AX146" i="1"/>
  <c r="AX145" i="1"/>
  <c r="AX144" i="1"/>
  <c r="AX143" i="1"/>
  <c r="AX142" i="1"/>
  <c r="AX141" i="1"/>
  <c r="AX140" i="1"/>
  <c r="AX139" i="1"/>
  <c r="AX138" i="1"/>
  <c r="AX137" i="1"/>
  <c r="AX136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AX92" i="1"/>
  <c r="AX91" i="1"/>
  <c r="AX90" i="1"/>
  <c r="AX89" i="1"/>
  <c r="AX88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" i="1"/>
  <c r="AW159" i="1"/>
  <c r="AW158" i="1"/>
  <c r="AW157" i="1"/>
  <c r="AW156" i="1"/>
  <c r="AW155" i="1"/>
  <c r="AW154" i="1"/>
  <c r="AW153" i="1"/>
  <c r="AW152" i="1"/>
  <c r="AW151" i="1"/>
  <c r="AW150" i="1"/>
  <c r="AW149" i="1"/>
  <c r="AW148" i="1"/>
  <c r="AW147" i="1"/>
  <c r="AW146" i="1"/>
  <c r="AW145" i="1"/>
  <c r="AW144" i="1"/>
  <c r="AW143" i="1"/>
  <c r="AW142" i="1"/>
  <c r="AW141" i="1"/>
  <c r="AW140" i="1"/>
  <c r="AW139" i="1"/>
  <c r="AW138" i="1"/>
  <c r="AW137" i="1"/>
  <c r="AW136" i="1"/>
  <c r="AW135" i="1"/>
  <c r="AW134" i="1"/>
  <c r="AW133" i="1"/>
  <c r="AW132" i="1"/>
  <c r="AW131" i="1"/>
  <c r="AW130" i="1"/>
  <c r="AW129" i="1"/>
  <c r="AW128" i="1"/>
  <c r="AW127" i="1"/>
  <c r="AW126" i="1"/>
  <c r="AW125" i="1"/>
  <c r="AW124" i="1"/>
  <c r="AW123" i="1"/>
  <c r="AW122" i="1"/>
  <c r="AW121" i="1"/>
  <c r="AW120" i="1"/>
  <c r="AW119" i="1"/>
  <c r="AW118" i="1"/>
  <c r="AW117" i="1"/>
  <c r="AW116" i="1"/>
  <c r="AW115" i="1"/>
  <c r="AW114" i="1"/>
  <c r="AW113" i="1"/>
  <c r="AW112" i="1"/>
  <c r="AW111" i="1"/>
  <c r="AW110" i="1"/>
  <c r="AW109" i="1"/>
  <c r="AW108" i="1"/>
  <c r="AW107" i="1"/>
  <c r="AW106" i="1"/>
  <c r="AW105" i="1"/>
  <c r="AW104" i="1"/>
  <c r="AW103" i="1"/>
  <c r="AW102" i="1"/>
  <c r="AW101" i="1"/>
  <c r="AW100" i="1"/>
  <c r="AW99" i="1"/>
  <c r="AW98" i="1"/>
  <c r="AW97" i="1"/>
  <c r="AW96" i="1"/>
  <c r="AW95" i="1"/>
  <c r="AW94" i="1"/>
  <c r="AW93" i="1"/>
  <c r="AW92" i="1"/>
  <c r="AW91" i="1"/>
  <c r="AW90" i="1"/>
  <c r="AW89" i="1"/>
  <c r="AW88" i="1"/>
  <c r="AW87" i="1"/>
  <c r="AW86" i="1"/>
  <c r="AW85" i="1"/>
  <c r="AW84" i="1"/>
  <c r="AW83" i="1"/>
  <c r="AW82" i="1"/>
  <c r="AW81" i="1"/>
  <c r="AW80" i="1"/>
  <c r="AW79" i="1"/>
  <c r="AW78" i="1"/>
  <c r="AW77" i="1"/>
  <c r="AW76" i="1"/>
  <c r="AW75" i="1"/>
  <c r="AW74" i="1"/>
  <c r="AW73" i="1"/>
  <c r="AW72" i="1"/>
  <c r="AW71" i="1"/>
  <c r="AW70" i="1"/>
  <c r="AW69" i="1"/>
  <c r="AW68" i="1"/>
  <c r="AW67" i="1"/>
  <c r="AW66" i="1"/>
  <c r="AW65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W52" i="1"/>
  <c r="AW51" i="1"/>
  <c r="AW50" i="1"/>
  <c r="AW49" i="1"/>
  <c r="AW48" i="1"/>
  <c r="AW47" i="1"/>
  <c r="AW46" i="1"/>
  <c r="AW45" i="1"/>
  <c r="AW44" i="1"/>
  <c r="AW43" i="1"/>
  <c r="AW42" i="1"/>
  <c r="AW41" i="1"/>
  <c r="AW40" i="1"/>
  <c r="AW39" i="1"/>
  <c r="AW38" i="1"/>
  <c r="AW37" i="1"/>
  <c r="AW36" i="1"/>
  <c r="AW35" i="1"/>
  <c r="AW34" i="1"/>
  <c r="AW33" i="1"/>
  <c r="AW32" i="1"/>
  <c r="AW31" i="1"/>
  <c r="AW30" i="1"/>
  <c r="AW29" i="1"/>
  <c r="AW28" i="1"/>
  <c r="AW27" i="1"/>
  <c r="AW26" i="1"/>
  <c r="AW25" i="1"/>
  <c r="AW24" i="1"/>
  <c r="AW23" i="1"/>
  <c r="AW22" i="1"/>
  <c r="AW21" i="1"/>
  <c r="AW20" i="1"/>
  <c r="AW19" i="1"/>
  <c r="AW18" i="1"/>
  <c r="AW17" i="1"/>
  <c r="AW16" i="1"/>
  <c r="AW15" i="1"/>
  <c r="AW14" i="1"/>
  <c r="AW13" i="1"/>
  <c r="AW12" i="1"/>
  <c r="AW11" i="1"/>
  <c r="AW10" i="1"/>
  <c r="AW9" i="1"/>
  <c r="AW8" i="1"/>
  <c r="AW7" i="1"/>
  <c r="AW6" i="1"/>
  <c r="AW5" i="1"/>
  <c r="AW4" i="1"/>
  <c r="AW3" i="1"/>
  <c r="AW2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T2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3" i="1"/>
  <c r="AS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  <c r="AQ4" i="1"/>
  <c r="AQ3" i="1"/>
  <c r="AQ2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K3" i="1"/>
  <c r="AK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J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T2" i="1"/>
  <c r="C3" i="5" l="1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Y2" i="1"/>
  <c r="T48" i="1"/>
  <c r="U12" i="1" s="1"/>
  <c r="D6" i="5" l="1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Y32" i="1"/>
  <c r="Y40" i="1"/>
  <c r="Y47" i="1"/>
  <c r="Y31" i="1"/>
  <c r="Y22" i="1"/>
  <c r="Y43" i="1"/>
  <c r="Y12" i="1"/>
  <c r="Y29" i="1"/>
  <c r="Y38" i="1"/>
  <c r="Y24" i="1"/>
  <c r="Y44" i="1"/>
  <c r="Y11" i="1"/>
  <c r="Y27" i="1"/>
  <c r="Y37" i="1"/>
  <c r="Y14" i="1"/>
  <c r="Y34" i="1"/>
  <c r="Y28" i="1"/>
  <c r="Y25" i="1"/>
  <c r="Y30" i="1"/>
  <c r="Y7" i="1"/>
  <c r="Y23" i="1"/>
  <c r="Y13" i="1"/>
  <c r="Y42" i="1"/>
  <c r="Y8" i="1"/>
  <c r="Y5" i="1"/>
  <c r="Y33" i="1"/>
  <c r="Y15" i="1"/>
  <c r="Y9" i="1"/>
  <c r="Y3" i="1"/>
  <c r="Y10" i="1"/>
  <c r="Y46" i="1"/>
  <c r="Y45" i="1"/>
  <c r="Y4" i="1"/>
  <c r="Y19" i="1"/>
  <c r="Y16" i="1"/>
  <c r="Y39" i="1"/>
  <c r="Y21" i="1"/>
  <c r="Y18" i="1"/>
  <c r="Y41" i="1"/>
  <c r="Y17" i="1"/>
  <c r="Y36" i="1"/>
  <c r="Y20" i="1"/>
  <c r="Y35" i="1"/>
  <c r="Y6" i="1"/>
  <c r="Y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P8" i="5" l="1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J5" i="1"/>
  <c r="I5" i="1"/>
  <c r="G5" i="1"/>
  <c r="K4" i="1"/>
  <c r="J4" i="1"/>
  <c r="I4" i="1"/>
  <c r="G4" i="1"/>
  <c r="K3" i="1"/>
  <c r="J3" i="1"/>
  <c r="I3" i="1"/>
  <c r="G3" i="1"/>
  <c r="K2" i="1"/>
  <c r="J2" i="1"/>
  <c r="I2" i="1"/>
  <c r="G2" i="1"/>
  <c r="K1" i="1"/>
  <c r="J1" i="1"/>
  <c r="I1" i="1"/>
  <c r="G1" i="1"/>
  <c r="H9" i="1"/>
  <c r="H8" i="1"/>
  <c r="H7" i="1"/>
  <c r="H6" i="1"/>
  <c r="H5" i="1"/>
  <c r="H4" i="1"/>
  <c r="H3" i="1"/>
  <c r="H2" i="1"/>
  <c r="H1" i="1"/>
  <c r="C47" i="3" l="1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Z45" i="1"/>
  <c r="Z29" i="1"/>
  <c r="Z13" i="1"/>
  <c r="Z44" i="1"/>
  <c r="Z28" i="1"/>
  <c r="Z12" i="1"/>
  <c r="Z43" i="1"/>
  <c r="AA43" i="1" s="1"/>
  <c r="Z27" i="1"/>
  <c r="Z11" i="1"/>
  <c r="Z42" i="1"/>
  <c r="Z26" i="1"/>
  <c r="Z10" i="1"/>
  <c r="Z41" i="1"/>
  <c r="Z25" i="1"/>
  <c r="Z9" i="1"/>
  <c r="Z40" i="1"/>
  <c r="AA40" i="1" s="1"/>
  <c r="Z24" i="1"/>
  <c r="Z8" i="1"/>
  <c r="Z39" i="1"/>
  <c r="Z23" i="1"/>
  <c r="Z7" i="1"/>
  <c r="Z38" i="1"/>
  <c r="Z22" i="1"/>
  <c r="Z6" i="1"/>
  <c r="Z37" i="1"/>
  <c r="Z21" i="1"/>
  <c r="Z5" i="1"/>
  <c r="Z36" i="1"/>
  <c r="Z20" i="1"/>
  <c r="Z4" i="1"/>
  <c r="Z35" i="1"/>
  <c r="Z19" i="1"/>
  <c r="Z3" i="1"/>
  <c r="Z34" i="1"/>
  <c r="Z18" i="1"/>
  <c r="Z2" i="1"/>
  <c r="Z33" i="1"/>
  <c r="Z17" i="1"/>
  <c r="Z32" i="1"/>
  <c r="Z16" i="1"/>
  <c r="Z47" i="1"/>
  <c r="Z31" i="1"/>
  <c r="Z15" i="1"/>
  <c r="Z46" i="1"/>
  <c r="Z30" i="1"/>
  <c r="Z14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D35" i="3" l="1"/>
  <c r="D16" i="3"/>
  <c r="D19" i="3"/>
  <c r="D14" i="3"/>
  <c r="AA19" i="1"/>
  <c r="AA35" i="1"/>
  <c r="AA9" i="1"/>
  <c r="AA25" i="1"/>
  <c r="AA8" i="1"/>
  <c r="AA30" i="1"/>
  <c r="AA20" i="1"/>
  <c r="AA41" i="1"/>
  <c r="AA14" i="1"/>
  <c r="AA46" i="1"/>
  <c r="AA36" i="1"/>
  <c r="AA10" i="1"/>
  <c r="AA4" i="1"/>
  <c r="AA15" i="1"/>
  <c r="AA5" i="1"/>
  <c r="AA26" i="1"/>
  <c r="AA31" i="1"/>
  <c r="AA21" i="1"/>
  <c r="AA42" i="1"/>
  <c r="AA34" i="1"/>
  <c r="AA47" i="1"/>
  <c r="AA37" i="1"/>
  <c r="AA11" i="1"/>
  <c r="AA16" i="1"/>
  <c r="AA6" i="1"/>
  <c r="AA27" i="1"/>
  <c r="AA22" i="1"/>
  <c r="AA17" i="1"/>
  <c r="AA38" i="1"/>
  <c r="AA12" i="1"/>
  <c r="AA32" i="1"/>
  <c r="AA33" i="1"/>
  <c r="AA7" i="1"/>
  <c r="AA28" i="1"/>
  <c r="AA2" i="1"/>
  <c r="AA23" i="1"/>
  <c r="AA44" i="1"/>
  <c r="AA18" i="1"/>
  <c r="AA39" i="1"/>
  <c r="AA13" i="1"/>
  <c r="AA29" i="1"/>
  <c r="AA3" i="1"/>
  <c r="AA24" i="1"/>
  <c r="AA45" i="1"/>
  <c r="W48" i="1"/>
  <c r="AA48" i="1" l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</calcChain>
</file>

<file path=xl/sharedStrings.xml><?xml version="1.0" encoding="utf-8"?>
<sst xmlns="http://schemas.openxmlformats.org/spreadsheetml/2006/main" count="23" uniqueCount="13">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</sst>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B24008"/>
  <sheetViews>
    <sheetView topLeftCell="I13" workbookViewId="0">
      <selection activeCell="AW2" sqref="AW2:AW158"/>
    </sheetView>
  </sheetViews>
  <sheetFormatPr defaultRowHeight="16.2" x14ac:dyDescent="0.3"/>
  <sheetData>
    <row r="1" spans="1:5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D1" t="s">
        <v>8</v>
      </c>
      <c r="AF1" t="s">
        <v>6</v>
      </c>
      <c r="AG1" t="s">
        <v>5</v>
      </c>
      <c r="AM1" t="s">
        <v>3</v>
      </c>
      <c r="AO1" t="s">
        <v>6</v>
      </c>
      <c r="AP1" t="s">
        <v>5</v>
      </c>
      <c r="AV1" t="s">
        <v>4</v>
      </c>
      <c r="AX1" t="s">
        <v>6</v>
      </c>
      <c r="AY1" t="s">
        <v>5</v>
      </c>
    </row>
    <row r="2" spans="1:54" x14ac:dyDescent="0.3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 t="shared" ref="T2:T47" si="5">COUNTIFS(B:B,"=" &amp; S2)</f>
        <v>2461</v>
      </c>
      <c r="U2">
        <f t="shared" ref="U2:U47" si="6">T2/$T$48</f>
        <v>0.24289380181602843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COUNTIFS(T2:T47,"&gt;=" &amp; T2)/46</f>
        <v>8.6956521739130432E-2</v>
      </c>
      <c r="Z2">
        <f>(S2-$H$1)/$H$6</f>
        <v>-0.86357149179183745</v>
      </c>
      <c r="AA2">
        <f>COUNTIFS(Z:Z,"&gt;=" &amp; Z2)/46</f>
        <v>1</v>
      </c>
      <c r="AD2">
        <v>0</v>
      </c>
      <c r="AE2">
        <f>COUNTIFS(C:C,"=" &amp; AD2)</f>
        <v>330</v>
      </c>
      <c r="AF2">
        <f>AE2/$AE$22</f>
        <v>4.9107142857142856E-2</v>
      </c>
      <c r="AG2">
        <f>MAX(0,(AD2-$I$11)/$I$7)</f>
        <v>0</v>
      </c>
      <c r="AH2">
        <f>ABS(AD2-$I$2)</f>
        <v>3</v>
      </c>
      <c r="AI2">
        <f>0.6745*(AD2-$I$2)/$AH$22</f>
        <v>-0.26979999999999998</v>
      </c>
      <c r="AJ2">
        <f>(AD2-$I$1)/$I$6</f>
        <v>-1.6281254028821375</v>
      </c>
      <c r="AK2">
        <f>COUNTIFS(AJ:AJ,"&gt;=" &amp; AJ2)/20</f>
        <v>1</v>
      </c>
      <c r="AM2">
        <v>0</v>
      </c>
      <c r="AN2">
        <f>COUNTIFS(D:D,"=" &amp; AM2)</f>
        <v>51</v>
      </c>
      <c r="AO2">
        <f>AN2/$AN$64</f>
        <v>4.3776824034334763E-2</v>
      </c>
      <c r="AP2">
        <f>MAX(0,(AM2-$J$11)/$J$7)</f>
        <v>0</v>
      </c>
      <c r="AQ2">
        <f>ABS(AM2-$J$2)</f>
        <v>23</v>
      </c>
      <c r="AR2">
        <f>0.6745*(AM2-$J$2)/$AQ$64</f>
        <v>-0.5641272727272727</v>
      </c>
      <c r="AS2">
        <f>(AM2-$J$1)/$J$6</f>
        <v>-1.7670852948659672</v>
      </c>
      <c r="AT2">
        <f>COUNTIFS(AS:AS,"&gt;=" &amp; AS2)/62</f>
        <v>1</v>
      </c>
      <c r="AV2">
        <v>0</v>
      </c>
      <c r="AW2">
        <f>COUNTIFS(E:E,"=" &amp; AV2)</f>
        <v>8</v>
      </c>
      <c r="AX2">
        <f>AW2/$AW$159</f>
        <v>1.4414414414414415E-2</v>
      </c>
      <c r="AY2">
        <f>MAX(0,(AV2-$K$11)/$K$7)</f>
        <v>0</v>
      </c>
      <c r="AZ2">
        <f>ABS(AV2-$K$2)</f>
        <v>38</v>
      </c>
      <c r="BA2">
        <f>0.6745*(AV2-$K$2)/$AZ$159</f>
        <v>-0.64077499999999998</v>
      </c>
      <c r="BB2">
        <f>COUNTIFS(BA:BA,"&gt;=" &amp; BA2)/157</f>
        <v>1</v>
      </c>
    </row>
    <row r="3" spans="1:54" x14ac:dyDescent="0.3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7">MODE(A:A)</f>
        <v>44</v>
      </c>
      <c r="H3">
        <f>MODE(B:B)</f>
        <v>2</v>
      </c>
      <c r="I3">
        <f t="shared" ref="I3:K3" si="8">MODE(C:C)</f>
        <v>2</v>
      </c>
      <c r="J3">
        <f t="shared" si="8"/>
        <v>17</v>
      </c>
      <c r="K3">
        <f t="shared" si="8"/>
        <v>31</v>
      </c>
      <c r="N3">
        <f>CORREL($C:$C,B:B)</f>
        <v>0.20763166170223171</v>
      </c>
      <c r="O3">
        <f t="shared" ref="O3:Q3" si="9">CORREL($C:$C,C:C)</f>
        <v>1</v>
      </c>
      <c r="P3">
        <f t="shared" si="9"/>
        <v>0.7350018997570853</v>
      </c>
      <c r="Q3">
        <f t="shared" si="9"/>
        <v>0.59237894258516188</v>
      </c>
      <c r="S3">
        <v>2</v>
      </c>
      <c r="T3">
        <f t="shared" si="5"/>
        <v>10132</v>
      </c>
      <c r="U3">
        <f t="shared" si="6"/>
        <v>1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COUNTIFS(T3:T48,"&gt;=" &amp; T3)/46</f>
        <v>4.3478260869565216E-2</v>
      </c>
      <c r="Z3">
        <f t="shared" ref="Z3:Z47" si="14">(S3-$H$1)/$H$6</f>
        <v>-0.49657271672639858</v>
      </c>
      <c r="AA3">
        <f t="shared" ref="AA3:AA47" si="15">COUNTIFS(Z:Z,"&gt;=" &amp; Z3)/46</f>
        <v>0.97826086956521741</v>
      </c>
      <c r="AD3">
        <v>1</v>
      </c>
      <c r="AE3">
        <f t="shared" ref="AE3:AE21" si="16">COUNTIFS(C:C,"=" &amp; AD3)</f>
        <v>4071</v>
      </c>
      <c r="AF3">
        <f t="shared" ref="AF3:AF21" si="17">AE3/$AE$22</f>
        <v>0.60580357142857144</v>
      </c>
      <c r="AG3">
        <f t="shared" ref="AG3:AG21" si="18">MAX(0,(AD3-$I$11)/$I$7)</f>
        <v>0</v>
      </c>
      <c r="AH3">
        <f t="shared" ref="AH3:AH21" si="19">ABS(AD3-$I$2)</f>
        <v>2</v>
      </c>
      <c r="AI3">
        <f t="shared" ref="AI3:AI21" si="20">0.6745*(AD3-$I$2)/$AH$22</f>
        <v>-0.17986666666666667</v>
      </c>
      <c r="AJ3">
        <f t="shared" ref="AJ3:AJ21" si="21">(AD3-$I$1)/$I$6</f>
        <v>-1.1037501557364624</v>
      </c>
      <c r="AK3">
        <f t="shared" ref="AK3:AK21" si="22">COUNTIFS(AJ:AJ,"&gt;=" &amp; AJ3)/20</f>
        <v>0.95</v>
      </c>
      <c r="AM3">
        <v>2</v>
      </c>
      <c r="AN3">
        <f t="shared" ref="AN3:AN63" si="23">COUNTIFS(D:D,"=" &amp; AM3)</f>
        <v>333</v>
      </c>
      <c r="AO3">
        <f t="shared" ref="AO3:AO63" si="24">AN3/$AN$64</f>
        <v>0.28583690987124466</v>
      </c>
      <c r="AP3">
        <f t="shared" ref="AP3:AP63" si="25">MAX(0,(AM3-$J$11)/$J$7)</f>
        <v>0</v>
      </c>
      <c r="AQ3">
        <f t="shared" ref="AQ3:AQ63" si="26">ABS(AM3-$J$2)</f>
        <v>21</v>
      </c>
      <c r="AR3">
        <f t="shared" ref="AR3:AR63" si="27">0.6745*(AM3-$J$2)/$AQ$64</f>
        <v>-0.51507272727272724</v>
      </c>
      <c r="AS3">
        <f t="shared" ref="AS3:AS63" si="28">(AM3-$J$1)/$J$6</f>
        <v>-1.6309460547766657</v>
      </c>
      <c r="AT3">
        <f t="shared" ref="AT3:AT63" si="29">COUNTIFS(AS:AS,"&gt;=" &amp; AS3)/62</f>
        <v>0.9838709677419355</v>
      </c>
      <c r="AV3">
        <v>1</v>
      </c>
      <c r="AW3">
        <f t="shared" ref="AW3:AW66" si="30">COUNTIFS(E:E,"=" &amp; AV3)</f>
        <v>25</v>
      </c>
      <c r="AX3">
        <f t="shared" ref="AX3:AX66" si="31">AW3/$AW$159</f>
        <v>4.5045045045045043E-2</v>
      </c>
      <c r="AY3">
        <f t="shared" ref="AY3:AY66" si="32">MAX(0,(AV3-$K$11)/$K$7)</f>
        <v>0</v>
      </c>
      <c r="AZ3">
        <f t="shared" ref="AZ3:AZ66" si="33">ABS(AV3-$K$2)</f>
        <v>37</v>
      </c>
      <c r="BA3">
        <f t="shared" ref="BA3:BA66" si="34">0.6745*(AV3-$K$2)/$AZ$159</f>
        <v>-0.62391249999999998</v>
      </c>
      <c r="BB3">
        <f t="shared" ref="BB3:BB66" si="35">COUNTIFS(BA:BA,"&gt;=" &amp; BA3)/157</f>
        <v>0.99363057324840764</v>
      </c>
    </row>
    <row r="4" spans="1:54" x14ac:dyDescent="0.3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36">MAX(A:A)</f>
        <v>202</v>
      </c>
      <c r="H4">
        <f>MAX(B:B)</f>
        <v>95</v>
      </c>
      <c r="I4">
        <f t="shared" ref="I4:K4" si="37">MAX(C:C)</f>
        <v>23</v>
      </c>
      <c r="J4">
        <f t="shared" si="37"/>
        <v>101</v>
      </c>
      <c r="K4">
        <f t="shared" si="37"/>
        <v>169</v>
      </c>
      <c r="N4">
        <f>CORREL($D:$D,B:B)</f>
        <v>0.26558721508350153</v>
      </c>
      <c r="O4">
        <f t="shared" ref="O4:Q4" si="38">CORREL($D:$D,C:C)</f>
        <v>0.7350018997570853</v>
      </c>
      <c r="P4">
        <f t="shared" si="38"/>
        <v>1.0000000000000002</v>
      </c>
      <c r="Q4">
        <f t="shared" si="38"/>
        <v>0.43446791532986911</v>
      </c>
      <c r="S4">
        <v>5</v>
      </c>
      <c r="T4">
        <f t="shared" si="5"/>
        <v>6142</v>
      </c>
      <c r="U4">
        <f t="shared" si="6"/>
        <v>0.60619818397157521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4.3478260869565216E-2</v>
      </c>
      <c r="Z4">
        <f t="shared" si="14"/>
        <v>5.3925445871759708E-2</v>
      </c>
      <c r="AA4">
        <f t="shared" si="15"/>
        <v>0.95652173913043481</v>
      </c>
      <c r="AD4">
        <v>2</v>
      </c>
      <c r="AE4">
        <f t="shared" si="16"/>
        <v>6720</v>
      </c>
      <c r="AF4">
        <f t="shared" si="17"/>
        <v>1</v>
      </c>
      <c r="AG4">
        <f t="shared" si="18"/>
        <v>0</v>
      </c>
      <c r="AH4">
        <f t="shared" si="19"/>
        <v>1</v>
      </c>
      <c r="AI4">
        <f t="shared" si="20"/>
        <v>-8.9933333333333337E-2</v>
      </c>
      <c r="AJ4">
        <f t="shared" si="21"/>
        <v>-0.57937490859078733</v>
      </c>
      <c r="AK4">
        <f t="shared" si="22"/>
        <v>0.9</v>
      </c>
      <c r="AM4">
        <v>3</v>
      </c>
      <c r="AN4">
        <f t="shared" si="23"/>
        <v>311</v>
      </c>
      <c r="AO4">
        <f t="shared" si="24"/>
        <v>0.26695278969957081</v>
      </c>
      <c r="AP4">
        <f t="shared" si="25"/>
        <v>0</v>
      </c>
      <c r="AQ4">
        <f t="shared" si="26"/>
        <v>20</v>
      </c>
      <c r="AR4">
        <f t="shared" si="27"/>
        <v>-0.49054545454545456</v>
      </c>
      <c r="AS4">
        <f t="shared" si="28"/>
        <v>-1.562876434732015</v>
      </c>
      <c r="AT4">
        <f t="shared" si="29"/>
        <v>0.967741935483871</v>
      </c>
      <c r="AV4">
        <v>2</v>
      </c>
      <c r="AW4">
        <f t="shared" si="30"/>
        <v>40</v>
      </c>
      <c r="AX4">
        <f t="shared" si="31"/>
        <v>7.2072072072072071E-2</v>
      </c>
      <c r="AY4">
        <f t="shared" si="32"/>
        <v>0</v>
      </c>
      <c r="AZ4">
        <f t="shared" si="33"/>
        <v>36</v>
      </c>
      <c r="BA4">
        <f t="shared" si="34"/>
        <v>-0.60704999999999998</v>
      </c>
      <c r="BB4">
        <f t="shared" si="35"/>
        <v>0.98726114649681529</v>
      </c>
    </row>
    <row r="5" spans="1:54" x14ac:dyDescent="0.3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39">VAR(A:A)</f>
        <v>643.17598610233426</v>
      </c>
      <c r="H5">
        <f>VAR(B:B)</f>
        <v>29.699480490813691</v>
      </c>
      <c r="I5">
        <f t="shared" ref="I5:K5" si="40">VAR(C:C)</f>
        <v>3.6369198060241126</v>
      </c>
      <c r="J5">
        <f t="shared" si="40"/>
        <v>215.82981467876388</v>
      </c>
      <c r="K5">
        <f t="shared" si="40"/>
        <v>636.47390705051407</v>
      </c>
      <c r="N5">
        <f>CORREL($E:$E,B:B)</f>
        <v>0.28366855682671482</v>
      </c>
      <c r="O5">
        <f t="shared" ref="O5:Q5" si="41">CORREL($E:$E,C:C)</f>
        <v>0.59237894258516188</v>
      </c>
      <c r="P5">
        <f t="shared" si="41"/>
        <v>0.43446791532986911</v>
      </c>
      <c r="Q5">
        <f t="shared" si="41"/>
        <v>1.0000000000000002</v>
      </c>
      <c r="S5">
        <v>8</v>
      </c>
      <c r="T5">
        <f t="shared" si="5"/>
        <v>2629</v>
      </c>
      <c r="U5">
        <f t="shared" si="6"/>
        <v>0.25947493091196211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4.3478260869565216E-2</v>
      </c>
      <c r="Z5">
        <f t="shared" si="14"/>
        <v>0.60442360846991794</v>
      </c>
      <c r="AA5">
        <f t="shared" si="15"/>
        <v>0.93478260869565222</v>
      </c>
      <c r="AD5">
        <v>3</v>
      </c>
      <c r="AE5">
        <f t="shared" si="16"/>
        <v>6147</v>
      </c>
      <c r="AF5">
        <f t="shared" si="17"/>
        <v>0.91473214285714288</v>
      </c>
      <c r="AG5">
        <f t="shared" si="18"/>
        <v>0</v>
      </c>
      <c r="AH5">
        <f t="shared" si="19"/>
        <v>0</v>
      </c>
      <c r="AI5">
        <f t="shared" si="20"/>
        <v>0</v>
      </c>
      <c r="AJ5">
        <f t="shared" si="21"/>
        <v>-5.4999661445112272E-2</v>
      </c>
      <c r="AK5">
        <f t="shared" si="22"/>
        <v>0.85</v>
      </c>
      <c r="AM5">
        <v>5</v>
      </c>
      <c r="AN5">
        <f t="shared" si="23"/>
        <v>442</v>
      </c>
      <c r="AO5">
        <f t="shared" si="24"/>
        <v>0.37939914163090127</v>
      </c>
      <c r="AP5">
        <f t="shared" si="25"/>
        <v>0</v>
      </c>
      <c r="AQ5">
        <f t="shared" si="26"/>
        <v>18</v>
      </c>
      <c r="AR5">
        <f t="shared" si="27"/>
        <v>-0.4414909090909091</v>
      </c>
      <c r="AS5">
        <f t="shared" si="28"/>
        <v>-1.4267371946427134</v>
      </c>
      <c r="AT5">
        <f t="shared" si="29"/>
        <v>0.95161290322580649</v>
      </c>
      <c r="AV5">
        <v>3</v>
      </c>
      <c r="AW5">
        <f t="shared" si="30"/>
        <v>69</v>
      </c>
      <c r="AX5">
        <f t="shared" si="31"/>
        <v>0.12432432432432433</v>
      </c>
      <c r="AY5">
        <f t="shared" si="32"/>
        <v>0</v>
      </c>
      <c r="AZ5">
        <f t="shared" si="33"/>
        <v>35</v>
      </c>
      <c r="BA5">
        <f t="shared" si="34"/>
        <v>-0.59018749999999998</v>
      </c>
      <c r="BB5">
        <f t="shared" si="35"/>
        <v>0.98089171974522293</v>
      </c>
    </row>
    <row r="6" spans="1:54" x14ac:dyDescent="0.3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42">_xlfn.STDEV.P(A:A)</f>
        <v>25.36038633217186</v>
      </c>
      <c r="H6">
        <f>_xlfn.STDEV.P(B:B)</f>
        <v>5.4496094697955977</v>
      </c>
      <c r="I6">
        <f t="shared" ref="I6:K6" si="43">_xlfn.STDEV.P(C:C)</f>
        <v>1.907031282356074</v>
      </c>
      <c r="J6">
        <f t="shared" si="43"/>
        <v>14.690841514085772</v>
      </c>
      <c r="K6">
        <f t="shared" si="43"/>
        <v>25.227909050039354</v>
      </c>
      <c r="S6">
        <v>10</v>
      </c>
      <c r="T6">
        <f t="shared" si="5"/>
        <v>1107</v>
      </c>
      <c r="U6">
        <f t="shared" si="6"/>
        <v>0.10925779707856297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4.3478260869565216E-2</v>
      </c>
      <c r="Z6">
        <f t="shared" si="14"/>
        <v>0.97142238353535681</v>
      </c>
      <c r="AA6">
        <f t="shared" si="15"/>
        <v>0.91304347826086951</v>
      </c>
      <c r="AD6">
        <v>5</v>
      </c>
      <c r="AE6">
        <f t="shared" si="16"/>
        <v>3938</v>
      </c>
      <c r="AF6">
        <f t="shared" si="17"/>
        <v>0.58601190476190479</v>
      </c>
      <c r="AG6">
        <f t="shared" si="18"/>
        <v>0</v>
      </c>
      <c r="AH6">
        <f t="shared" si="19"/>
        <v>2</v>
      </c>
      <c r="AI6">
        <f t="shared" si="20"/>
        <v>0.17986666666666667</v>
      </c>
      <c r="AJ6">
        <f t="shared" si="21"/>
        <v>0.99375083284623789</v>
      </c>
      <c r="AK6">
        <f t="shared" si="22"/>
        <v>0.8</v>
      </c>
      <c r="AM6">
        <v>7</v>
      </c>
      <c r="AN6">
        <f t="shared" si="23"/>
        <v>678</v>
      </c>
      <c r="AO6">
        <f t="shared" si="24"/>
        <v>0.58197424892703864</v>
      </c>
      <c r="AP6">
        <f t="shared" si="25"/>
        <v>0</v>
      </c>
      <c r="AQ6">
        <f t="shared" si="26"/>
        <v>16</v>
      </c>
      <c r="AR6">
        <f t="shared" si="27"/>
        <v>-0.39243636363636364</v>
      </c>
      <c r="AS6">
        <f t="shared" si="28"/>
        <v>-1.2905979545534121</v>
      </c>
      <c r="AT6">
        <f t="shared" si="29"/>
        <v>0.93548387096774188</v>
      </c>
      <c r="AV6">
        <v>4</v>
      </c>
      <c r="AW6">
        <f t="shared" si="30"/>
        <v>86</v>
      </c>
      <c r="AX6">
        <f t="shared" si="31"/>
        <v>0.15495495495495495</v>
      </c>
      <c r="AY6">
        <f t="shared" si="32"/>
        <v>0</v>
      </c>
      <c r="AZ6">
        <f t="shared" si="33"/>
        <v>34</v>
      </c>
      <c r="BA6">
        <f t="shared" si="34"/>
        <v>-0.57332499999999997</v>
      </c>
      <c r="BB6">
        <f t="shared" si="35"/>
        <v>0.97452229299363058</v>
      </c>
    </row>
    <row r="7" spans="1:54" x14ac:dyDescent="0.3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44">QUARTILE(A:A,3)-QUARTILE(A:A,1)</f>
        <v>31</v>
      </c>
      <c r="H7">
        <f>QUARTILE(B:B,3)-QUARTILE(B:B,1)</f>
        <v>3</v>
      </c>
      <c r="I7">
        <f t="shared" ref="I7:K7" si="45">QUARTILE(C:C,3)-QUARTILE(C:C,1)</f>
        <v>3</v>
      </c>
      <c r="J7">
        <f t="shared" si="45"/>
        <v>20</v>
      </c>
      <c r="K7">
        <f t="shared" si="45"/>
        <v>37</v>
      </c>
      <c r="S7">
        <v>12</v>
      </c>
      <c r="T7">
        <f t="shared" si="5"/>
        <v>548</v>
      </c>
      <c r="U7">
        <f t="shared" si="6"/>
        <v>5.4086063955783657E-2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4.3478260869565216E-2</v>
      </c>
      <c r="Z7">
        <f t="shared" si="14"/>
        <v>1.3384211586007957</v>
      </c>
      <c r="AA7">
        <f t="shared" si="15"/>
        <v>0.89130434782608692</v>
      </c>
      <c r="AD7">
        <v>6</v>
      </c>
      <c r="AE7">
        <f t="shared" si="16"/>
        <v>1753</v>
      </c>
      <c r="AF7">
        <f t="shared" si="17"/>
        <v>0.26086309523809526</v>
      </c>
      <c r="AG7">
        <f t="shared" si="18"/>
        <v>0.33333333333333331</v>
      </c>
      <c r="AH7">
        <f t="shared" si="19"/>
        <v>3</v>
      </c>
      <c r="AI7">
        <f t="shared" si="20"/>
        <v>0.26979999999999998</v>
      </c>
      <c r="AJ7">
        <f t="shared" si="21"/>
        <v>1.518126079991913</v>
      </c>
      <c r="AK7">
        <f t="shared" si="22"/>
        <v>0.75</v>
      </c>
      <c r="AM7">
        <v>8</v>
      </c>
      <c r="AN7">
        <f t="shared" si="23"/>
        <v>845</v>
      </c>
      <c r="AO7">
        <f t="shared" si="24"/>
        <v>0.72532188841201717</v>
      </c>
      <c r="AP7">
        <f t="shared" si="25"/>
        <v>0</v>
      </c>
      <c r="AQ7">
        <f t="shared" si="26"/>
        <v>15</v>
      </c>
      <c r="AR7">
        <f t="shared" si="27"/>
        <v>-0.36790909090909091</v>
      </c>
      <c r="AS7">
        <f t="shared" si="28"/>
        <v>-1.2225283345087612</v>
      </c>
      <c r="AT7">
        <f t="shared" si="29"/>
        <v>0.91935483870967738</v>
      </c>
      <c r="AV7">
        <v>5</v>
      </c>
      <c r="AW7">
        <f t="shared" si="30"/>
        <v>90</v>
      </c>
      <c r="AX7">
        <f t="shared" si="31"/>
        <v>0.16216216216216217</v>
      </c>
      <c r="AY7">
        <f t="shared" si="32"/>
        <v>0</v>
      </c>
      <c r="AZ7">
        <f t="shared" si="33"/>
        <v>33</v>
      </c>
      <c r="BA7">
        <f t="shared" si="34"/>
        <v>-0.55646249999999997</v>
      </c>
      <c r="BB7">
        <f t="shared" si="35"/>
        <v>0.96815286624203822</v>
      </c>
    </row>
    <row r="8" spans="1:54" x14ac:dyDescent="0.3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46">SKEW(A:A)</f>
        <v>1.2207929024196038</v>
      </c>
      <c r="H8">
        <f>SKEW(B:B)</f>
        <v>4.852579781667858</v>
      </c>
      <c r="I8">
        <f t="shared" ref="I8:K8" si="47">SKEW(C:C)</f>
        <v>1.3083196028101731</v>
      </c>
      <c r="J8">
        <f t="shared" si="47"/>
        <v>0.60643118766186344</v>
      </c>
      <c r="K8">
        <f t="shared" si="47"/>
        <v>0.7848402685707867</v>
      </c>
      <c r="S8">
        <v>15</v>
      </c>
      <c r="T8">
        <f t="shared" si="5"/>
        <v>287</v>
      </c>
      <c r="U8">
        <f t="shared" si="6"/>
        <v>2.8326095538886695E-2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4.3478260869565216E-2</v>
      </c>
      <c r="Z8">
        <f t="shared" si="14"/>
        <v>1.8889193211989539</v>
      </c>
      <c r="AA8">
        <f t="shared" si="15"/>
        <v>0.86956521739130432</v>
      </c>
      <c r="AD8">
        <v>7</v>
      </c>
      <c r="AE8">
        <f t="shared" si="16"/>
        <v>621</v>
      </c>
      <c r="AF8">
        <f t="shared" si="17"/>
        <v>9.241071428571429E-2</v>
      </c>
      <c r="AG8">
        <f t="shared" si="18"/>
        <v>0.66666666666666663</v>
      </c>
      <c r="AH8">
        <f t="shared" si="19"/>
        <v>4</v>
      </c>
      <c r="AI8">
        <f t="shared" si="20"/>
        <v>0.35973333333333335</v>
      </c>
      <c r="AJ8">
        <f t="shared" si="21"/>
        <v>2.0425013271375883</v>
      </c>
      <c r="AK8">
        <f t="shared" si="22"/>
        <v>0.7</v>
      </c>
      <c r="AM8">
        <v>10</v>
      </c>
      <c r="AN8">
        <f t="shared" si="23"/>
        <v>912</v>
      </c>
      <c r="AO8">
        <f t="shared" si="24"/>
        <v>0.7828326180257511</v>
      </c>
      <c r="AP8">
        <f t="shared" si="25"/>
        <v>0</v>
      </c>
      <c r="AQ8">
        <f t="shared" si="26"/>
        <v>13</v>
      </c>
      <c r="AR8">
        <f t="shared" si="27"/>
        <v>-0.31885454545454545</v>
      </c>
      <c r="AS8">
        <f t="shared" si="28"/>
        <v>-1.0863890944194599</v>
      </c>
      <c r="AT8">
        <f t="shared" si="29"/>
        <v>0.90322580645161288</v>
      </c>
      <c r="AV8">
        <v>6</v>
      </c>
      <c r="AW8">
        <f t="shared" si="30"/>
        <v>180</v>
      </c>
      <c r="AX8">
        <f t="shared" si="31"/>
        <v>0.32432432432432434</v>
      </c>
      <c r="AY8">
        <f t="shared" si="32"/>
        <v>0</v>
      </c>
      <c r="AZ8">
        <f t="shared" si="33"/>
        <v>32</v>
      </c>
      <c r="BA8">
        <f t="shared" si="34"/>
        <v>-0.53959999999999997</v>
      </c>
      <c r="BB8">
        <f t="shared" si="35"/>
        <v>0.96178343949044587</v>
      </c>
    </row>
    <row r="9" spans="1:54" x14ac:dyDescent="0.3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48">KURT(A:A)</f>
        <v>1.7068755050490387</v>
      </c>
      <c r="H9">
        <f>KURT(B:B)</f>
        <v>41.780966222023373</v>
      </c>
      <c r="I9">
        <f t="shared" ref="I9:K9" si="49">KURT(C:C)</f>
        <v>3.9280355592729284</v>
      </c>
      <c r="J9">
        <f t="shared" si="49"/>
        <v>-0.27169140648998846</v>
      </c>
      <c r="K9">
        <f t="shared" si="49"/>
        <v>0.41513988842959781</v>
      </c>
      <c r="S9">
        <v>18</v>
      </c>
      <c r="T9">
        <f t="shared" si="5"/>
        <v>192</v>
      </c>
      <c r="U9">
        <f t="shared" si="6"/>
        <v>1.8949861823924202E-2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4.3478260869565216E-2</v>
      </c>
      <c r="Z9">
        <f t="shared" si="14"/>
        <v>2.4394174837971123</v>
      </c>
      <c r="AA9">
        <f t="shared" si="15"/>
        <v>0.84782608695652173</v>
      </c>
      <c r="AD9">
        <v>8</v>
      </c>
      <c r="AE9">
        <f t="shared" si="16"/>
        <v>203</v>
      </c>
      <c r="AF9">
        <f t="shared" si="17"/>
        <v>3.0208333333333334E-2</v>
      </c>
      <c r="AG9">
        <f t="shared" si="18"/>
        <v>1</v>
      </c>
      <c r="AH9">
        <f t="shared" si="19"/>
        <v>5</v>
      </c>
      <c r="AI9">
        <f t="shared" si="20"/>
        <v>0.44966666666666666</v>
      </c>
      <c r="AJ9">
        <f t="shared" si="21"/>
        <v>2.5668765742832633</v>
      </c>
      <c r="AK9">
        <f t="shared" si="22"/>
        <v>0.65</v>
      </c>
      <c r="AM9">
        <v>12</v>
      </c>
      <c r="AN9">
        <f t="shared" si="23"/>
        <v>1103</v>
      </c>
      <c r="AO9">
        <f t="shared" si="24"/>
        <v>0.94678111587982827</v>
      </c>
      <c r="AP9">
        <f t="shared" si="25"/>
        <v>0</v>
      </c>
      <c r="AQ9">
        <f t="shared" si="26"/>
        <v>11</v>
      </c>
      <c r="AR9">
        <f t="shared" si="27"/>
        <v>-0.26979999999999998</v>
      </c>
      <c r="AS9">
        <f t="shared" si="28"/>
        <v>-0.95024985433015829</v>
      </c>
      <c r="AT9">
        <f t="shared" si="29"/>
        <v>0.88709677419354838</v>
      </c>
      <c r="AV9">
        <v>7</v>
      </c>
      <c r="AW9">
        <f t="shared" si="30"/>
        <v>140</v>
      </c>
      <c r="AX9">
        <f t="shared" si="31"/>
        <v>0.25225225225225223</v>
      </c>
      <c r="AY9">
        <f t="shared" si="32"/>
        <v>0</v>
      </c>
      <c r="AZ9">
        <f t="shared" si="33"/>
        <v>31</v>
      </c>
      <c r="BA9">
        <f t="shared" si="34"/>
        <v>-0.52273750000000008</v>
      </c>
      <c r="BB9">
        <f t="shared" si="35"/>
        <v>0.95541401273885351</v>
      </c>
    </row>
    <row r="10" spans="1:54" x14ac:dyDescent="0.3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0">MIN(B:B)</f>
        <v>0</v>
      </c>
      <c r="I10">
        <f t="shared" si="50"/>
        <v>0</v>
      </c>
      <c r="J10">
        <f t="shared" si="50"/>
        <v>0</v>
      </c>
      <c r="K10">
        <f t="shared" si="50"/>
        <v>0</v>
      </c>
      <c r="S10">
        <v>20</v>
      </c>
      <c r="T10">
        <f t="shared" si="5"/>
        <v>125</v>
      </c>
      <c r="U10">
        <f t="shared" si="6"/>
        <v>1.2337149624950651E-2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4.3478260869565216E-2</v>
      </c>
      <c r="Z10">
        <f t="shared" si="14"/>
        <v>2.806416258862551</v>
      </c>
      <c r="AA10">
        <f t="shared" si="15"/>
        <v>0.82608695652173914</v>
      </c>
      <c r="AD10">
        <v>9</v>
      </c>
      <c r="AE10">
        <f t="shared" si="16"/>
        <v>112</v>
      </c>
      <c r="AF10">
        <f t="shared" si="17"/>
        <v>1.6666666666666666E-2</v>
      </c>
      <c r="AG10">
        <f t="shared" si="18"/>
        <v>1.3333333333333333</v>
      </c>
      <c r="AH10">
        <f t="shared" si="19"/>
        <v>6</v>
      </c>
      <c r="AI10">
        <f t="shared" si="20"/>
        <v>0.53959999999999997</v>
      </c>
      <c r="AJ10">
        <f t="shared" si="21"/>
        <v>3.0912518214289384</v>
      </c>
      <c r="AK10">
        <f t="shared" si="22"/>
        <v>0.6</v>
      </c>
      <c r="AM10">
        <v>13</v>
      </c>
      <c r="AN10">
        <f t="shared" si="23"/>
        <v>1016</v>
      </c>
      <c r="AO10">
        <f t="shared" si="24"/>
        <v>0.87210300429184551</v>
      </c>
      <c r="AP10">
        <f t="shared" si="25"/>
        <v>0</v>
      </c>
      <c r="AQ10">
        <f t="shared" si="26"/>
        <v>10</v>
      </c>
      <c r="AR10">
        <f t="shared" si="27"/>
        <v>-0.24527272727272728</v>
      </c>
      <c r="AS10">
        <f t="shared" si="28"/>
        <v>-0.88218023428550763</v>
      </c>
      <c r="AT10">
        <f t="shared" si="29"/>
        <v>0.87096774193548387</v>
      </c>
      <c r="AV10">
        <v>8</v>
      </c>
      <c r="AW10">
        <f t="shared" si="30"/>
        <v>179</v>
      </c>
      <c r="AX10">
        <f t="shared" si="31"/>
        <v>0.3225225225225225</v>
      </c>
      <c r="AY10">
        <f t="shared" si="32"/>
        <v>0</v>
      </c>
      <c r="AZ10">
        <f t="shared" si="33"/>
        <v>30</v>
      </c>
      <c r="BA10">
        <f t="shared" si="34"/>
        <v>-0.50587499999999996</v>
      </c>
      <c r="BB10">
        <f t="shared" si="35"/>
        <v>0.94904458598726116</v>
      </c>
    </row>
    <row r="11" spans="1:54" x14ac:dyDescent="0.3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1">QUARTILE(A:A,3)</f>
        <v>67</v>
      </c>
      <c r="H11">
        <f>QUARTILE(B:B,3)</f>
        <v>5</v>
      </c>
      <c r="I11">
        <f t="shared" ref="I11:K11" si="52">QUARTILE(C:C,3)</f>
        <v>5</v>
      </c>
      <c r="J11">
        <f t="shared" si="52"/>
        <v>35</v>
      </c>
      <c r="K11">
        <f t="shared" si="52"/>
        <v>60</v>
      </c>
      <c r="S11">
        <v>22</v>
      </c>
      <c r="T11">
        <f t="shared" si="5"/>
        <v>76</v>
      </c>
      <c r="U11">
        <f t="shared" si="6"/>
        <v>7.5009869719699961E-3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4.3478260869565216E-2</v>
      </c>
      <c r="Z11">
        <f t="shared" si="14"/>
        <v>3.1734150339279901</v>
      </c>
      <c r="AA11">
        <f t="shared" si="15"/>
        <v>0.80434782608695654</v>
      </c>
      <c r="AD11">
        <v>10</v>
      </c>
      <c r="AE11">
        <f t="shared" si="16"/>
        <v>42</v>
      </c>
      <c r="AF11">
        <f t="shared" si="17"/>
        <v>6.2500000000000003E-3</v>
      </c>
      <c r="AG11">
        <f t="shared" si="18"/>
        <v>1.6666666666666667</v>
      </c>
      <c r="AH11">
        <f t="shared" si="19"/>
        <v>7</v>
      </c>
      <c r="AI11">
        <f t="shared" si="20"/>
        <v>0.62953333333333328</v>
      </c>
      <c r="AJ11">
        <f t="shared" si="21"/>
        <v>3.6156270685746135</v>
      </c>
      <c r="AK11">
        <f t="shared" si="22"/>
        <v>0.55000000000000004</v>
      </c>
      <c r="AM11">
        <v>15</v>
      </c>
      <c r="AN11">
        <f t="shared" si="23"/>
        <v>1148</v>
      </c>
      <c r="AO11">
        <f t="shared" si="24"/>
        <v>0.98540772532188836</v>
      </c>
      <c r="AP11">
        <f t="shared" si="25"/>
        <v>0</v>
      </c>
      <c r="AQ11">
        <f t="shared" si="26"/>
        <v>8</v>
      </c>
      <c r="AR11">
        <f t="shared" si="27"/>
        <v>-0.19621818181818182</v>
      </c>
      <c r="AS11">
        <f t="shared" si="28"/>
        <v>-0.74604099419620618</v>
      </c>
      <c r="AT11">
        <f t="shared" si="29"/>
        <v>0.85483870967741937</v>
      </c>
      <c r="AV11">
        <v>9</v>
      </c>
      <c r="AW11">
        <f t="shared" si="30"/>
        <v>203</v>
      </c>
      <c r="AX11">
        <f t="shared" si="31"/>
        <v>0.36576576576576575</v>
      </c>
      <c r="AY11">
        <f t="shared" si="32"/>
        <v>0</v>
      </c>
      <c r="AZ11">
        <f t="shared" si="33"/>
        <v>29</v>
      </c>
      <c r="BA11">
        <f t="shared" si="34"/>
        <v>-0.48901250000000002</v>
      </c>
      <c r="BB11">
        <f t="shared" si="35"/>
        <v>0.9426751592356688</v>
      </c>
    </row>
    <row r="12" spans="1:54" x14ac:dyDescent="0.3">
      <c r="A12">
        <v>19</v>
      </c>
      <c r="B12">
        <v>0</v>
      </c>
      <c r="C12">
        <v>1</v>
      </c>
      <c r="D12">
        <v>0</v>
      </c>
      <c r="E12">
        <v>3</v>
      </c>
      <c r="S12">
        <v>25</v>
      </c>
      <c r="T12">
        <f t="shared" si="5"/>
        <v>63</v>
      </c>
      <c r="U12">
        <f t="shared" si="6"/>
        <v>6.2179234109751283E-3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4.3478260869565216E-2</v>
      </c>
      <c r="Z12">
        <f t="shared" si="14"/>
        <v>3.7239131965261483</v>
      </c>
      <c r="AA12">
        <f t="shared" si="15"/>
        <v>0.78260869565217395</v>
      </c>
      <c r="AD12">
        <v>11</v>
      </c>
      <c r="AE12">
        <f t="shared" si="16"/>
        <v>15</v>
      </c>
      <c r="AF12">
        <f t="shared" si="17"/>
        <v>2.232142857142857E-3</v>
      </c>
      <c r="AG12">
        <f t="shared" si="18"/>
        <v>2</v>
      </c>
      <c r="AH12">
        <f t="shared" si="19"/>
        <v>8</v>
      </c>
      <c r="AI12">
        <f t="shared" si="20"/>
        <v>0.7194666666666667</v>
      </c>
      <c r="AJ12">
        <f t="shared" si="21"/>
        <v>4.1400023157202881</v>
      </c>
      <c r="AK12">
        <f t="shared" si="22"/>
        <v>0.5</v>
      </c>
      <c r="AM12">
        <v>17</v>
      </c>
      <c r="AN12">
        <f t="shared" si="23"/>
        <v>1165</v>
      </c>
      <c r="AO12">
        <f t="shared" si="24"/>
        <v>1</v>
      </c>
      <c r="AP12">
        <f t="shared" si="25"/>
        <v>0</v>
      </c>
      <c r="AQ12">
        <f t="shared" si="26"/>
        <v>6</v>
      </c>
      <c r="AR12">
        <f t="shared" si="27"/>
        <v>-0.14716363636363636</v>
      </c>
      <c r="AS12">
        <f t="shared" si="28"/>
        <v>-0.60990175410690461</v>
      </c>
      <c r="AT12">
        <f t="shared" si="29"/>
        <v>0.83870967741935487</v>
      </c>
      <c r="AV12">
        <v>10</v>
      </c>
      <c r="AW12">
        <f t="shared" si="30"/>
        <v>241</v>
      </c>
      <c r="AX12">
        <f t="shared" si="31"/>
        <v>0.43423423423423424</v>
      </c>
      <c r="AY12">
        <f t="shared" si="32"/>
        <v>0</v>
      </c>
      <c r="AZ12">
        <f t="shared" si="33"/>
        <v>28</v>
      </c>
      <c r="BA12">
        <f t="shared" si="34"/>
        <v>-0.47214999999999996</v>
      </c>
      <c r="BB12">
        <f t="shared" si="35"/>
        <v>0.93630573248407645</v>
      </c>
    </row>
    <row r="13" spans="1:54" x14ac:dyDescent="0.3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53">I11+1.5*I7</f>
        <v>9.5</v>
      </c>
      <c r="J13">
        <f t="shared" si="53"/>
        <v>65</v>
      </c>
      <c r="K13">
        <f t="shared" si="53"/>
        <v>115.5</v>
      </c>
      <c r="L13" t="s">
        <v>10</v>
      </c>
      <c r="S13">
        <v>28</v>
      </c>
      <c r="T13">
        <f t="shared" si="5"/>
        <v>46</v>
      </c>
      <c r="U13">
        <f t="shared" si="6"/>
        <v>4.5400710619818395E-3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4.3478260869565216E-2</v>
      </c>
      <c r="Z13">
        <f t="shared" si="14"/>
        <v>4.2744113591243069</v>
      </c>
      <c r="AA13">
        <f t="shared" si="15"/>
        <v>0.76086956521739135</v>
      </c>
      <c r="AD13">
        <v>12</v>
      </c>
      <c r="AE13">
        <f t="shared" si="16"/>
        <v>13</v>
      </c>
      <c r="AF13">
        <f t="shared" si="17"/>
        <v>1.9345238095238096E-3</v>
      </c>
      <c r="AG13">
        <f t="shared" si="18"/>
        <v>2.3333333333333335</v>
      </c>
      <c r="AH13">
        <f t="shared" si="19"/>
        <v>9</v>
      </c>
      <c r="AI13">
        <f t="shared" si="20"/>
        <v>0.80940000000000001</v>
      </c>
      <c r="AJ13">
        <f t="shared" si="21"/>
        <v>4.6643775628659636</v>
      </c>
      <c r="AK13">
        <f t="shared" si="22"/>
        <v>0.45</v>
      </c>
      <c r="AM13">
        <v>18</v>
      </c>
      <c r="AN13">
        <f t="shared" si="23"/>
        <v>1150</v>
      </c>
      <c r="AO13">
        <f t="shared" si="24"/>
        <v>0.98712446351931327</v>
      </c>
      <c r="AP13">
        <f t="shared" si="25"/>
        <v>0</v>
      </c>
      <c r="AQ13">
        <f t="shared" si="26"/>
        <v>5</v>
      </c>
      <c r="AR13">
        <f t="shared" si="27"/>
        <v>-0.12263636363636364</v>
      </c>
      <c r="AS13">
        <f t="shared" si="28"/>
        <v>-0.54183213406225395</v>
      </c>
      <c r="AT13">
        <f t="shared" si="29"/>
        <v>0.82258064516129037</v>
      </c>
      <c r="AV13">
        <v>11</v>
      </c>
      <c r="AW13">
        <f t="shared" si="30"/>
        <v>260</v>
      </c>
      <c r="AX13">
        <f t="shared" si="31"/>
        <v>0.46846846846846846</v>
      </c>
      <c r="AY13">
        <f t="shared" si="32"/>
        <v>0</v>
      </c>
      <c r="AZ13">
        <f t="shared" si="33"/>
        <v>27</v>
      </c>
      <c r="BA13">
        <f t="shared" si="34"/>
        <v>-0.45528750000000001</v>
      </c>
      <c r="BB13">
        <f t="shared" si="35"/>
        <v>0.92993630573248409</v>
      </c>
    </row>
    <row r="14" spans="1:54" x14ac:dyDescent="0.3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54">QUARTILE(C:C,1)-1.5*I7</f>
        <v>-2.5</v>
      </c>
      <c r="J14">
        <f t="shared" si="54"/>
        <v>-15</v>
      </c>
      <c r="K14">
        <f t="shared" si="54"/>
        <v>-32.5</v>
      </c>
      <c r="L14" t="s">
        <v>11</v>
      </c>
      <c r="S14">
        <v>30</v>
      </c>
      <c r="T14">
        <f t="shared" si="5"/>
        <v>37</v>
      </c>
      <c r="U14">
        <f t="shared" si="6"/>
        <v>3.651796288985393E-3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4.3478260869565216E-2</v>
      </c>
      <c r="Z14">
        <f t="shared" si="14"/>
        <v>4.641410134189746</v>
      </c>
      <c r="AA14">
        <f t="shared" si="15"/>
        <v>0.73913043478260865</v>
      </c>
      <c r="AD14">
        <v>14</v>
      </c>
      <c r="AE14">
        <f t="shared" si="16"/>
        <v>16</v>
      </c>
      <c r="AF14">
        <f t="shared" si="17"/>
        <v>2.3809523809523812E-3</v>
      </c>
      <c r="AG14">
        <f t="shared" si="18"/>
        <v>3</v>
      </c>
      <c r="AH14">
        <f t="shared" si="19"/>
        <v>11</v>
      </c>
      <c r="AI14">
        <f t="shared" si="20"/>
        <v>0.98926666666666674</v>
      </c>
      <c r="AJ14">
        <f t="shared" si="21"/>
        <v>5.7131280571573138</v>
      </c>
      <c r="AK14">
        <f t="shared" si="22"/>
        <v>0.4</v>
      </c>
      <c r="AM14">
        <v>20</v>
      </c>
      <c r="AN14">
        <f t="shared" si="23"/>
        <v>1128</v>
      </c>
      <c r="AO14">
        <f t="shared" si="24"/>
        <v>0.96824034334763953</v>
      </c>
      <c r="AP14">
        <f t="shared" si="25"/>
        <v>0</v>
      </c>
      <c r="AQ14">
        <f t="shared" si="26"/>
        <v>3</v>
      </c>
      <c r="AR14">
        <f t="shared" si="27"/>
        <v>-7.3581818181818179E-2</v>
      </c>
      <c r="AS14">
        <f t="shared" si="28"/>
        <v>-0.40569289397295244</v>
      </c>
      <c r="AT14">
        <f t="shared" si="29"/>
        <v>0.80645161290322576</v>
      </c>
      <c r="AV14">
        <v>12</v>
      </c>
      <c r="AW14">
        <f t="shared" si="30"/>
        <v>272</v>
      </c>
      <c r="AX14">
        <f t="shared" si="31"/>
        <v>0.49009009009009008</v>
      </c>
      <c r="AY14">
        <f t="shared" si="32"/>
        <v>0</v>
      </c>
      <c r="AZ14">
        <f t="shared" si="33"/>
        <v>26</v>
      </c>
      <c r="BA14">
        <f t="shared" si="34"/>
        <v>-0.43842499999999995</v>
      </c>
      <c r="BB14">
        <f t="shared" si="35"/>
        <v>0.92356687898089174</v>
      </c>
    </row>
    <row r="15" spans="1:54" x14ac:dyDescent="0.3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5"/>
        <v>29</v>
      </c>
      <c r="U15">
        <f t="shared" si="6"/>
        <v>2.8622187129885512E-3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4.3478260869565216E-2</v>
      </c>
      <c r="Z15">
        <f t="shared" si="14"/>
        <v>5.0084089092551842</v>
      </c>
      <c r="AA15">
        <f t="shared" si="15"/>
        <v>0.71739130434782605</v>
      </c>
      <c r="AD15">
        <v>15</v>
      </c>
      <c r="AE15">
        <f t="shared" si="16"/>
        <v>10</v>
      </c>
      <c r="AF15">
        <f t="shared" si="17"/>
        <v>1.488095238095238E-3</v>
      </c>
      <c r="AG15">
        <f t="shared" si="18"/>
        <v>3.3333333333333335</v>
      </c>
      <c r="AH15">
        <f t="shared" si="19"/>
        <v>12</v>
      </c>
      <c r="AI15">
        <f t="shared" si="20"/>
        <v>1.0791999999999999</v>
      </c>
      <c r="AJ15">
        <f t="shared" si="21"/>
        <v>6.2375033043029893</v>
      </c>
      <c r="AK15">
        <f t="shared" si="22"/>
        <v>0.35</v>
      </c>
      <c r="AM15">
        <v>22</v>
      </c>
      <c r="AN15">
        <f t="shared" si="23"/>
        <v>1082</v>
      </c>
      <c r="AO15">
        <f t="shared" si="24"/>
        <v>0.92875536480686693</v>
      </c>
      <c r="AP15">
        <f t="shared" si="25"/>
        <v>0</v>
      </c>
      <c r="AQ15">
        <f t="shared" si="26"/>
        <v>1</v>
      </c>
      <c r="AR15">
        <f t="shared" si="27"/>
        <v>-2.4527272727272727E-2</v>
      </c>
      <c r="AS15">
        <f t="shared" si="28"/>
        <v>-0.26955365388365099</v>
      </c>
      <c r="AT15">
        <f t="shared" si="29"/>
        <v>0.79032258064516125</v>
      </c>
      <c r="AV15">
        <v>13</v>
      </c>
      <c r="AW15">
        <f t="shared" si="30"/>
        <v>254</v>
      </c>
      <c r="AX15">
        <f t="shared" si="31"/>
        <v>0.45765765765765765</v>
      </c>
      <c r="AY15">
        <f t="shared" si="32"/>
        <v>0</v>
      </c>
      <c r="AZ15">
        <f t="shared" si="33"/>
        <v>25</v>
      </c>
      <c r="BA15">
        <f t="shared" si="34"/>
        <v>-0.42156250000000001</v>
      </c>
      <c r="BB15">
        <f t="shared" si="35"/>
        <v>0.91719745222929938</v>
      </c>
    </row>
    <row r="16" spans="1:54" x14ac:dyDescent="0.3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55">I5+3*I6</f>
        <v>9.3580136530923337</v>
      </c>
      <c r="J16">
        <f t="shared" si="55"/>
        <v>259.90233922102118</v>
      </c>
      <c r="K16">
        <f t="shared" si="55"/>
        <v>712.15763420063217</v>
      </c>
      <c r="L16" t="s">
        <v>12</v>
      </c>
      <c r="S16">
        <v>35</v>
      </c>
      <c r="T16">
        <f t="shared" si="5"/>
        <v>19</v>
      </c>
      <c r="U16">
        <f t="shared" si="6"/>
        <v>1.875246742992499E-3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6.5217391304347824E-2</v>
      </c>
      <c r="Z16">
        <f t="shared" si="14"/>
        <v>5.5589070718533424</v>
      </c>
      <c r="AA16">
        <f t="shared" si="15"/>
        <v>0.69565217391304346</v>
      </c>
      <c r="AD16">
        <v>16</v>
      </c>
      <c r="AE16">
        <f t="shared" si="16"/>
        <v>5</v>
      </c>
      <c r="AF16">
        <f t="shared" si="17"/>
        <v>7.4404761904761901E-4</v>
      </c>
      <c r="AG16">
        <f t="shared" si="18"/>
        <v>3.6666666666666665</v>
      </c>
      <c r="AH16">
        <f t="shared" si="19"/>
        <v>13</v>
      </c>
      <c r="AI16">
        <f t="shared" si="20"/>
        <v>1.1691333333333334</v>
      </c>
      <c r="AJ16">
        <f t="shared" si="21"/>
        <v>6.7618785514486648</v>
      </c>
      <c r="AK16">
        <f t="shared" si="22"/>
        <v>0.3</v>
      </c>
      <c r="AM16">
        <v>23</v>
      </c>
      <c r="AN16">
        <f t="shared" si="23"/>
        <v>1055</v>
      </c>
      <c r="AO16">
        <f t="shared" si="24"/>
        <v>0.90557939914163088</v>
      </c>
      <c r="AP16">
        <f t="shared" si="25"/>
        <v>0</v>
      </c>
      <c r="AQ16">
        <f t="shared" si="26"/>
        <v>0</v>
      </c>
      <c r="AR16">
        <f t="shared" si="27"/>
        <v>0</v>
      </c>
      <c r="AS16">
        <f t="shared" si="28"/>
        <v>-0.20148403383900026</v>
      </c>
      <c r="AT16">
        <f t="shared" si="29"/>
        <v>0.77419354838709675</v>
      </c>
      <c r="AV16">
        <v>14</v>
      </c>
      <c r="AW16">
        <f t="shared" si="30"/>
        <v>302</v>
      </c>
      <c r="AX16">
        <f t="shared" si="31"/>
        <v>0.54414414414414414</v>
      </c>
      <c r="AY16">
        <f t="shared" si="32"/>
        <v>0</v>
      </c>
      <c r="AZ16">
        <f t="shared" si="33"/>
        <v>24</v>
      </c>
      <c r="BA16">
        <f t="shared" si="34"/>
        <v>-0.40469999999999995</v>
      </c>
      <c r="BB16">
        <f t="shared" si="35"/>
        <v>0.91082802547770703</v>
      </c>
    </row>
    <row r="17" spans="1:54" x14ac:dyDescent="0.3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5"/>
        <v>17</v>
      </c>
      <c r="U17">
        <f t="shared" si="6"/>
        <v>1.6778523489932886E-3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6.5217391304347824E-2</v>
      </c>
      <c r="Z17">
        <f t="shared" si="14"/>
        <v>6.1094052344515006</v>
      </c>
      <c r="AA17">
        <f t="shared" si="15"/>
        <v>0.67391304347826086</v>
      </c>
      <c r="AD17">
        <v>17</v>
      </c>
      <c r="AE17">
        <f t="shared" si="16"/>
        <v>4</v>
      </c>
      <c r="AF17">
        <f t="shared" si="17"/>
        <v>5.9523809523809529E-4</v>
      </c>
      <c r="AG17">
        <f t="shared" si="18"/>
        <v>4</v>
      </c>
      <c r="AH17">
        <f t="shared" si="19"/>
        <v>14</v>
      </c>
      <c r="AI17">
        <f t="shared" si="20"/>
        <v>1.2590666666666666</v>
      </c>
      <c r="AJ17">
        <f t="shared" si="21"/>
        <v>7.2862537985943394</v>
      </c>
      <c r="AK17">
        <f t="shared" si="22"/>
        <v>0.25</v>
      </c>
      <c r="AM17">
        <v>25</v>
      </c>
      <c r="AN17">
        <f t="shared" si="23"/>
        <v>998</v>
      </c>
      <c r="AO17">
        <f t="shared" si="24"/>
        <v>0.85665236051502147</v>
      </c>
      <c r="AP17">
        <f t="shared" si="25"/>
        <v>0</v>
      </c>
      <c r="AQ17">
        <f t="shared" si="26"/>
        <v>2</v>
      </c>
      <c r="AR17">
        <f t="shared" si="27"/>
        <v>4.9054545454545455E-2</v>
      </c>
      <c r="AS17">
        <f t="shared" si="28"/>
        <v>-6.5344793749698787E-2</v>
      </c>
      <c r="AT17">
        <f t="shared" si="29"/>
        <v>0.75806451612903225</v>
      </c>
      <c r="AV17">
        <v>15</v>
      </c>
      <c r="AW17">
        <f t="shared" si="30"/>
        <v>381</v>
      </c>
      <c r="AX17">
        <f t="shared" si="31"/>
        <v>0.68648648648648647</v>
      </c>
      <c r="AY17">
        <f t="shared" si="32"/>
        <v>0</v>
      </c>
      <c r="AZ17">
        <f t="shared" si="33"/>
        <v>23</v>
      </c>
      <c r="BA17">
        <f t="shared" si="34"/>
        <v>-0.3878375</v>
      </c>
      <c r="BB17">
        <f t="shared" si="35"/>
        <v>0.90445859872611467</v>
      </c>
    </row>
    <row r="18" spans="1:54" x14ac:dyDescent="0.3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5"/>
        <v>19</v>
      </c>
      <c r="U18">
        <f t="shared" si="6"/>
        <v>1.875246742992499E-3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4.3478260869565216E-2</v>
      </c>
      <c r="Z18">
        <f t="shared" si="14"/>
        <v>6.4764040095169397</v>
      </c>
      <c r="AA18">
        <f t="shared" si="15"/>
        <v>0.65217391304347827</v>
      </c>
      <c r="AD18">
        <v>18</v>
      </c>
      <c r="AE18">
        <f t="shared" si="16"/>
        <v>4</v>
      </c>
      <c r="AF18">
        <f t="shared" si="17"/>
        <v>5.9523809523809529E-4</v>
      </c>
      <c r="AG18">
        <f t="shared" si="18"/>
        <v>4.333333333333333</v>
      </c>
      <c r="AH18">
        <f t="shared" si="19"/>
        <v>15</v>
      </c>
      <c r="AI18">
        <f t="shared" si="20"/>
        <v>1.349</v>
      </c>
      <c r="AJ18">
        <f t="shared" si="21"/>
        <v>7.8106290457400149</v>
      </c>
      <c r="AK18">
        <f t="shared" si="22"/>
        <v>0.2</v>
      </c>
      <c r="AM18">
        <v>27</v>
      </c>
      <c r="AN18">
        <f t="shared" si="23"/>
        <v>941</v>
      </c>
      <c r="AO18">
        <f t="shared" si="24"/>
        <v>0.80772532188841206</v>
      </c>
      <c r="AP18">
        <f t="shared" si="25"/>
        <v>0</v>
      </c>
      <c r="AQ18">
        <f t="shared" si="26"/>
        <v>4</v>
      </c>
      <c r="AR18">
        <f t="shared" si="27"/>
        <v>9.810909090909091E-2</v>
      </c>
      <c r="AS18">
        <f t="shared" si="28"/>
        <v>7.0794446339602676E-2</v>
      </c>
      <c r="AT18">
        <f t="shared" si="29"/>
        <v>0.74193548387096775</v>
      </c>
      <c r="AV18">
        <v>16</v>
      </c>
      <c r="AW18">
        <f t="shared" si="30"/>
        <v>368</v>
      </c>
      <c r="AX18">
        <f t="shared" si="31"/>
        <v>0.66306306306306306</v>
      </c>
      <c r="AY18">
        <f t="shared" si="32"/>
        <v>0</v>
      </c>
      <c r="AZ18">
        <f t="shared" si="33"/>
        <v>22</v>
      </c>
      <c r="BA18">
        <f t="shared" si="34"/>
        <v>-0.370975</v>
      </c>
      <c r="BB18">
        <f t="shared" si="35"/>
        <v>0.89808917197452232</v>
      </c>
    </row>
    <row r="19" spans="1:54" x14ac:dyDescent="0.3">
      <c r="A19">
        <v>43</v>
      </c>
      <c r="B19">
        <v>0</v>
      </c>
      <c r="C19">
        <v>1</v>
      </c>
      <c r="D19">
        <v>0</v>
      </c>
      <c r="E19">
        <v>13</v>
      </c>
      <c r="G19">
        <f>_xlfn.PERCENTILE.INC(A:A,0.9)</f>
        <v>90</v>
      </c>
      <c r="H19">
        <f t="shared" ref="H19:K19" si="56">_xlfn.PERCENTILE.INC(B:B,0.9)</f>
        <v>10</v>
      </c>
      <c r="I19">
        <f t="shared" si="56"/>
        <v>6</v>
      </c>
      <c r="J19">
        <f t="shared" si="56"/>
        <v>48</v>
      </c>
      <c r="K19">
        <f t="shared" si="56"/>
        <v>77</v>
      </c>
      <c r="S19">
        <v>42</v>
      </c>
      <c r="T19">
        <f t="shared" si="5"/>
        <v>8</v>
      </c>
      <c r="U19">
        <f t="shared" si="6"/>
        <v>7.8957757599684166E-4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6.5217391304347824E-2</v>
      </c>
      <c r="Z19">
        <f t="shared" si="14"/>
        <v>6.8434027845823788</v>
      </c>
      <c r="AA19">
        <f t="shared" si="15"/>
        <v>0.63043478260869568</v>
      </c>
      <c r="AD19">
        <v>20</v>
      </c>
      <c r="AE19">
        <f t="shared" si="16"/>
        <v>1</v>
      </c>
      <c r="AF19">
        <f t="shared" si="17"/>
        <v>1.4880952380952382E-4</v>
      </c>
      <c r="AG19">
        <f t="shared" si="18"/>
        <v>5</v>
      </c>
      <c r="AH19">
        <f t="shared" si="19"/>
        <v>17</v>
      </c>
      <c r="AI19">
        <f t="shared" si="20"/>
        <v>1.5288666666666666</v>
      </c>
      <c r="AJ19">
        <f t="shared" si="21"/>
        <v>8.8593795400313642</v>
      </c>
      <c r="AK19">
        <f t="shared" si="22"/>
        <v>0.15</v>
      </c>
      <c r="AM19">
        <v>28</v>
      </c>
      <c r="AN19">
        <f t="shared" si="23"/>
        <v>910</v>
      </c>
      <c r="AO19">
        <f t="shared" si="24"/>
        <v>0.7811158798283262</v>
      </c>
      <c r="AP19">
        <f t="shared" si="25"/>
        <v>0</v>
      </c>
      <c r="AQ19">
        <f t="shared" si="26"/>
        <v>5</v>
      </c>
      <c r="AR19">
        <f t="shared" si="27"/>
        <v>0.12263636363636364</v>
      </c>
      <c r="AS19">
        <f t="shared" si="28"/>
        <v>0.13886406638425342</v>
      </c>
      <c r="AT19">
        <f t="shared" si="29"/>
        <v>0.72580645161290325</v>
      </c>
      <c r="AV19">
        <v>17</v>
      </c>
      <c r="AW19">
        <f t="shared" si="30"/>
        <v>373</v>
      </c>
      <c r="AX19">
        <f t="shared" si="31"/>
        <v>0.67207207207207209</v>
      </c>
      <c r="AY19">
        <f t="shared" si="32"/>
        <v>0</v>
      </c>
      <c r="AZ19">
        <f t="shared" si="33"/>
        <v>21</v>
      </c>
      <c r="BA19">
        <f t="shared" si="34"/>
        <v>-0.3541125</v>
      </c>
      <c r="BB19">
        <f t="shared" si="35"/>
        <v>0.89171974522292996</v>
      </c>
    </row>
    <row r="20" spans="1:54" x14ac:dyDescent="0.3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 t="shared" ref="H20:K20" si="57">_xlfn.PERCENTILE.INC(B:B,0.75)</f>
        <v>5</v>
      </c>
      <c r="I20">
        <f t="shared" si="57"/>
        <v>5</v>
      </c>
      <c r="J20">
        <f t="shared" si="57"/>
        <v>35</v>
      </c>
      <c r="K20">
        <f t="shared" si="57"/>
        <v>60</v>
      </c>
      <c r="S20">
        <v>45</v>
      </c>
      <c r="T20">
        <f t="shared" si="5"/>
        <v>7</v>
      </c>
      <c r="U20">
        <f t="shared" si="6"/>
        <v>6.9088037899723643E-4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6.5217391304347824E-2</v>
      </c>
      <c r="Z20">
        <f t="shared" si="14"/>
        <v>7.393900947180537</v>
      </c>
      <c r="AA20">
        <f t="shared" si="15"/>
        <v>0.60869565217391308</v>
      </c>
      <c r="AD20">
        <v>22</v>
      </c>
      <c r="AE20">
        <f t="shared" si="16"/>
        <v>1</v>
      </c>
      <c r="AF20">
        <f t="shared" si="17"/>
        <v>1.4880952380952382E-4</v>
      </c>
      <c r="AG20">
        <f t="shared" si="18"/>
        <v>5.666666666666667</v>
      </c>
      <c r="AH20">
        <f t="shared" si="19"/>
        <v>19</v>
      </c>
      <c r="AI20">
        <f t="shared" si="20"/>
        <v>1.7087333333333334</v>
      </c>
      <c r="AJ20">
        <f t="shared" si="21"/>
        <v>9.9081300343227152</v>
      </c>
      <c r="AK20">
        <f t="shared" si="22"/>
        <v>0.1</v>
      </c>
      <c r="AM20">
        <v>30</v>
      </c>
      <c r="AN20">
        <f t="shared" si="23"/>
        <v>798</v>
      </c>
      <c r="AO20">
        <f t="shared" si="24"/>
        <v>0.68497854077253217</v>
      </c>
      <c r="AP20">
        <f t="shared" si="25"/>
        <v>0</v>
      </c>
      <c r="AQ20">
        <f t="shared" si="26"/>
        <v>7</v>
      </c>
      <c r="AR20">
        <f t="shared" si="27"/>
        <v>0.17169090909090909</v>
      </c>
      <c r="AS20">
        <f t="shared" si="28"/>
        <v>0.27500330647355486</v>
      </c>
      <c r="AT20">
        <f t="shared" si="29"/>
        <v>0.70967741935483875</v>
      </c>
      <c r="AV20">
        <v>18</v>
      </c>
      <c r="AW20">
        <f t="shared" si="30"/>
        <v>382</v>
      </c>
      <c r="AX20">
        <f t="shared" si="31"/>
        <v>0.68828828828828825</v>
      </c>
      <c r="AY20">
        <f t="shared" si="32"/>
        <v>0</v>
      </c>
      <c r="AZ20">
        <f t="shared" si="33"/>
        <v>20</v>
      </c>
      <c r="BA20">
        <f t="shared" si="34"/>
        <v>-0.33724999999999999</v>
      </c>
      <c r="BB20">
        <f t="shared" si="35"/>
        <v>0.88535031847133761</v>
      </c>
    </row>
    <row r="21" spans="1:54" x14ac:dyDescent="0.3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58">_xlfn.PERCENTILE.INC(B:B,0.25)</f>
        <v>2</v>
      </c>
      <c r="I21">
        <f t="shared" si="58"/>
        <v>2</v>
      </c>
      <c r="J21">
        <f t="shared" si="58"/>
        <v>15</v>
      </c>
      <c r="K21">
        <f t="shared" si="58"/>
        <v>23</v>
      </c>
      <c r="S21">
        <v>48</v>
      </c>
      <c r="T21">
        <f t="shared" si="5"/>
        <v>5</v>
      </c>
      <c r="U21">
        <f t="shared" si="6"/>
        <v>4.9348598499802606E-4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0.10869565217391304</v>
      </c>
      <c r="Z21">
        <f t="shared" si="14"/>
        <v>7.9443991097786952</v>
      </c>
      <c r="AA21">
        <f t="shared" si="15"/>
        <v>0.58695652173913049</v>
      </c>
      <c r="AD21">
        <v>23</v>
      </c>
      <c r="AE21">
        <f t="shared" si="16"/>
        <v>1</v>
      </c>
      <c r="AF21">
        <f t="shared" si="17"/>
        <v>1.4880952380952382E-4</v>
      </c>
      <c r="AG21">
        <f t="shared" si="18"/>
        <v>6</v>
      </c>
      <c r="AH21">
        <f t="shared" si="19"/>
        <v>20</v>
      </c>
      <c r="AI21">
        <f t="shared" si="20"/>
        <v>1.7986666666666666</v>
      </c>
      <c r="AJ21">
        <f t="shared" si="21"/>
        <v>10.432505281468391</v>
      </c>
      <c r="AK21">
        <f t="shared" si="22"/>
        <v>0.05</v>
      </c>
      <c r="AM21">
        <v>32</v>
      </c>
      <c r="AN21">
        <f t="shared" si="23"/>
        <v>807</v>
      </c>
      <c r="AO21">
        <f t="shared" si="24"/>
        <v>0.69270386266094419</v>
      </c>
      <c r="AP21">
        <f t="shared" si="25"/>
        <v>0</v>
      </c>
      <c r="AQ21">
        <f t="shared" si="26"/>
        <v>9</v>
      </c>
      <c r="AR21">
        <f t="shared" si="27"/>
        <v>0.22074545454545455</v>
      </c>
      <c r="AS21">
        <f t="shared" si="28"/>
        <v>0.41114254656285637</v>
      </c>
      <c r="AT21">
        <f t="shared" si="29"/>
        <v>0.69354838709677424</v>
      </c>
      <c r="AV21">
        <v>19</v>
      </c>
      <c r="AW21">
        <f t="shared" si="30"/>
        <v>553</v>
      </c>
      <c r="AX21">
        <f t="shared" si="31"/>
        <v>0.99639639639639643</v>
      </c>
      <c r="AY21">
        <f t="shared" si="32"/>
        <v>0</v>
      </c>
      <c r="AZ21">
        <f t="shared" si="33"/>
        <v>19</v>
      </c>
      <c r="BA21">
        <f t="shared" si="34"/>
        <v>-0.32038749999999999</v>
      </c>
      <c r="BB21">
        <f t="shared" si="35"/>
        <v>0.87898089171974525</v>
      </c>
    </row>
    <row r="22" spans="1:54" x14ac:dyDescent="0.3">
      <c r="A22">
        <v>45</v>
      </c>
      <c r="B22">
        <v>0</v>
      </c>
      <c r="C22">
        <v>1</v>
      </c>
      <c r="D22">
        <v>0</v>
      </c>
      <c r="E22">
        <v>5</v>
      </c>
      <c r="G22">
        <f>_xlfn.PERCENTILE.INC(A:A,0.1)</f>
        <v>28</v>
      </c>
      <c r="H22">
        <f t="shared" ref="H22:K22" si="59">_xlfn.PERCENTILE.INC(B:B,0.1)</f>
        <v>0</v>
      </c>
      <c r="I22">
        <f t="shared" si="59"/>
        <v>1</v>
      </c>
      <c r="J22">
        <f t="shared" si="59"/>
        <v>8</v>
      </c>
      <c r="K22">
        <f t="shared" si="59"/>
        <v>15</v>
      </c>
      <c r="S22">
        <v>50</v>
      </c>
      <c r="T22">
        <f t="shared" si="5"/>
        <v>6</v>
      </c>
      <c r="U22">
        <f t="shared" si="6"/>
        <v>5.921831819976313E-4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8.6956521739130432E-2</v>
      </c>
      <c r="Z22">
        <f t="shared" si="14"/>
        <v>8.3113978848441334</v>
      </c>
      <c r="AA22">
        <f t="shared" si="15"/>
        <v>0.56521739130434778</v>
      </c>
      <c r="AE22">
        <f>MAX(AE2:AE21)</f>
        <v>6720</v>
      </c>
      <c r="AH22">
        <f>MEDIAN(AH2:AH21)</f>
        <v>7.5</v>
      </c>
      <c r="AM22">
        <v>33</v>
      </c>
      <c r="AN22">
        <f t="shared" si="23"/>
        <v>715</v>
      </c>
      <c r="AO22">
        <f t="shared" si="24"/>
        <v>0.61373390557939911</v>
      </c>
      <c r="AP22">
        <f t="shared" si="25"/>
        <v>0</v>
      </c>
      <c r="AQ22">
        <f t="shared" si="26"/>
        <v>10</v>
      </c>
      <c r="AR22">
        <f t="shared" si="27"/>
        <v>0.24527272727272728</v>
      </c>
      <c r="AS22">
        <f t="shared" si="28"/>
        <v>0.4792121666075071</v>
      </c>
      <c r="AT22">
        <f t="shared" si="29"/>
        <v>0.67741935483870963</v>
      </c>
      <c r="AV22">
        <v>20</v>
      </c>
      <c r="AW22">
        <f t="shared" si="30"/>
        <v>369</v>
      </c>
      <c r="AX22">
        <f t="shared" si="31"/>
        <v>0.66486486486486485</v>
      </c>
      <c r="AY22">
        <f t="shared" si="32"/>
        <v>0</v>
      </c>
      <c r="AZ22">
        <f t="shared" si="33"/>
        <v>18</v>
      </c>
      <c r="BA22">
        <f t="shared" si="34"/>
        <v>-0.30352499999999999</v>
      </c>
      <c r="BB22">
        <f t="shared" si="35"/>
        <v>0.87261146496815289</v>
      </c>
    </row>
    <row r="23" spans="1:54" x14ac:dyDescent="0.3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5"/>
        <v>2</v>
      </c>
      <c r="U23">
        <f t="shared" si="6"/>
        <v>1.9739439399921041E-4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0.30434782608695654</v>
      </c>
      <c r="Z23">
        <f t="shared" si="14"/>
        <v>8.4948972723768534</v>
      </c>
      <c r="AA23">
        <f t="shared" si="15"/>
        <v>0.54347826086956519</v>
      </c>
      <c r="AM23">
        <v>35</v>
      </c>
      <c r="AN23">
        <f t="shared" si="23"/>
        <v>587</v>
      </c>
      <c r="AO23">
        <f t="shared" si="24"/>
        <v>0.50386266094420595</v>
      </c>
      <c r="AP23">
        <f t="shared" si="25"/>
        <v>0</v>
      </c>
      <c r="AQ23">
        <f t="shared" si="26"/>
        <v>12</v>
      </c>
      <c r="AR23">
        <f t="shared" si="27"/>
        <v>0.29432727272727272</v>
      </c>
      <c r="AS23">
        <f t="shared" si="28"/>
        <v>0.61535140669680854</v>
      </c>
      <c r="AT23">
        <f t="shared" si="29"/>
        <v>0.66129032258064513</v>
      </c>
      <c r="AV23">
        <v>21</v>
      </c>
      <c r="AW23">
        <f t="shared" si="30"/>
        <v>401</v>
      </c>
      <c r="AX23">
        <f t="shared" si="31"/>
        <v>0.72252252252252247</v>
      </c>
      <c r="AY23">
        <f t="shared" si="32"/>
        <v>0</v>
      </c>
      <c r="AZ23">
        <f t="shared" si="33"/>
        <v>17</v>
      </c>
      <c r="BA23">
        <f t="shared" si="34"/>
        <v>-0.28666249999999999</v>
      </c>
      <c r="BB23">
        <f t="shared" si="35"/>
        <v>0.86624203821656054</v>
      </c>
    </row>
    <row r="24" spans="1:54" x14ac:dyDescent="0.3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5"/>
        <v>8</v>
      </c>
      <c r="U24">
        <f t="shared" si="6"/>
        <v>7.8957757599684166E-4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4.3478260869565216E-2</v>
      </c>
      <c r="Z24">
        <f t="shared" si="14"/>
        <v>8.6783966599095734</v>
      </c>
      <c r="AA24">
        <f t="shared" si="15"/>
        <v>0.52173913043478259</v>
      </c>
      <c r="AM24">
        <v>37</v>
      </c>
      <c r="AN24">
        <f t="shared" si="23"/>
        <v>645</v>
      </c>
      <c r="AO24">
        <f t="shared" si="24"/>
        <v>0.55364806866952787</v>
      </c>
      <c r="AP24">
        <f t="shared" si="25"/>
        <v>0.1</v>
      </c>
      <c r="AQ24">
        <f t="shared" si="26"/>
        <v>14</v>
      </c>
      <c r="AR24">
        <f t="shared" si="27"/>
        <v>0.34338181818181818</v>
      </c>
      <c r="AS24">
        <f t="shared" si="28"/>
        <v>0.75149064678610999</v>
      </c>
      <c r="AT24">
        <f t="shared" si="29"/>
        <v>0.64516129032258063</v>
      </c>
      <c r="AV24">
        <v>22</v>
      </c>
      <c r="AW24">
        <f t="shared" si="30"/>
        <v>382</v>
      </c>
      <c r="AX24">
        <f t="shared" si="31"/>
        <v>0.68828828828828825</v>
      </c>
      <c r="AY24">
        <f t="shared" si="32"/>
        <v>0</v>
      </c>
      <c r="AZ24">
        <f t="shared" si="33"/>
        <v>16</v>
      </c>
      <c r="BA24">
        <f t="shared" si="34"/>
        <v>-0.26979999999999998</v>
      </c>
      <c r="BB24">
        <f t="shared" si="35"/>
        <v>0.85987261146496818</v>
      </c>
    </row>
    <row r="25" spans="1:54" x14ac:dyDescent="0.3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5"/>
        <v>6</v>
      </c>
      <c r="U25">
        <f t="shared" si="6"/>
        <v>5.921831819976313E-4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4.3478260869565216E-2</v>
      </c>
      <c r="Z25">
        <f t="shared" si="14"/>
        <v>8.8618960474422916</v>
      </c>
      <c r="AA25">
        <f t="shared" si="15"/>
        <v>0.5</v>
      </c>
      <c r="AM25">
        <v>38</v>
      </c>
      <c r="AN25">
        <f t="shared" si="23"/>
        <v>542</v>
      </c>
      <c r="AO25">
        <f t="shared" si="24"/>
        <v>0.46523605150214592</v>
      </c>
      <c r="AP25">
        <f t="shared" si="25"/>
        <v>0.15</v>
      </c>
      <c r="AQ25">
        <f t="shared" si="26"/>
        <v>15</v>
      </c>
      <c r="AR25">
        <f t="shared" si="27"/>
        <v>0.36790909090909091</v>
      </c>
      <c r="AS25">
        <f t="shared" si="28"/>
        <v>0.81956026683076078</v>
      </c>
      <c r="AT25">
        <f t="shared" si="29"/>
        <v>0.62903225806451613</v>
      </c>
      <c r="AV25">
        <v>23</v>
      </c>
      <c r="AW25">
        <f t="shared" si="30"/>
        <v>453</v>
      </c>
      <c r="AX25">
        <f t="shared" si="31"/>
        <v>0.81621621621621621</v>
      </c>
      <c r="AY25">
        <f t="shared" si="32"/>
        <v>0</v>
      </c>
      <c r="AZ25">
        <f t="shared" si="33"/>
        <v>15</v>
      </c>
      <c r="BA25">
        <f t="shared" si="34"/>
        <v>-0.25293749999999998</v>
      </c>
      <c r="BB25">
        <f t="shared" si="35"/>
        <v>0.85350318471337583</v>
      </c>
    </row>
    <row r="26" spans="1:54" x14ac:dyDescent="0.3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5"/>
        <v>4</v>
      </c>
      <c r="U26">
        <f t="shared" si="6"/>
        <v>3.9478878799842083E-4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6.5217391304347824E-2</v>
      </c>
      <c r="Z26">
        <f t="shared" si="14"/>
        <v>9.0453954349750116</v>
      </c>
      <c r="AA26">
        <f t="shared" si="15"/>
        <v>0.47826086956521741</v>
      </c>
      <c r="AM26">
        <v>40</v>
      </c>
      <c r="AN26">
        <f t="shared" si="23"/>
        <v>481</v>
      </c>
      <c r="AO26">
        <f t="shared" si="24"/>
        <v>0.4128755364806867</v>
      </c>
      <c r="AP26">
        <f t="shared" si="25"/>
        <v>0.25</v>
      </c>
      <c r="AQ26">
        <f t="shared" si="26"/>
        <v>17</v>
      </c>
      <c r="AR26">
        <f t="shared" si="27"/>
        <v>0.41696363636363637</v>
      </c>
      <c r="AS26">
        <f t="shared" si="28"/>
        <v>0.95569950692006223</v>
      </c>
      <c r="AT26">
        <f t="shared" si="29"/>
        <v>0.61290322580645162</v>
      </c>
      <c r="AV26">
        <v>24</v>
      </c>
      <c r="AW26">
        <f t="shared" si="30"/>
        <v>411</v>
      </c>
      <c r="AX26">
        <f t="shared" si="31"/>
        <v>0.74054054054054053</v>
      </c>
      <c r="AY26">
        <f t="shared" si="32"/>
        <v>0</v>
      </c>
      <c r="AZ26">
        <f t="shared" si="33"/>
        <v>14</v>
      </c>
      <c r="BA26">
        <f t="shared" si="34"/>
        <v>-0.23607499999999998</v>
      </c>
      <c r="BB26">
        <f t="shared" si="35"/>
        <v>0.84713375796178347</v>
      </c>
    </row>
    <row r="27" spans="1:54" x14ac:dyDescent="0.3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5"/>
        <v>2</v>
      </c>
      <c r="U27">
        <f t="shared" si="6"/>
        <v>1.9739439399921041E-4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0.21739130434782608</v>
      </c>
      <c r="Z27">
        <f t="shared" si="14"/>
        <v>9.2288948225077316</v>
      </c>
      <c r="AA27">
        <f t="shared" si="15"/>
        <v>0.45652173913043476</v>
      </c>
      <c r="AM27">
        <v>42</v>
      </c>
      <c r="AN27">
        <f t="shared" si="23"/>
        <v>468</v>
      </c>
      <c r="AO27">
        <f t="shared" si="24"/>
        <v>0.40171673819742487</v>
      </c>
      <c r="AP27">
        <f t="shared" si="25"/>
        <v>0.35</v>
      </c>
      <c r="AQ27">
        <f t="shared" si="26"/>
        <v>19</v>
      </c>
      <c r="AR27">
        <f t="shared" si="27"/>
        <v>0.46601818181818183</v>
      </c>
      <c r="AS27">
        <f t="shared" si="28"/>
        <v>1.0918387470093638</v>
      </c>
      <c r="AT27">
        <f t="shared" si="29"/>
        <v>0.59677419354838712</v>
      </c>
      <c r="AV27">
        <v>25</v>
      </c>
      <c r="AW27">
        <f t="shared" si="30"/>
        <v>400</v>
      </c>
      <c r="AX27">
        <f t="shared" si="31"/>
        <v>0.72072072072072069</v>
      </c>
      <c r="AY27">
        <f t="shared" si="32"/>
        <v>0</v>
      </c>
      <c r="AZ27">
        <f t="shared" si="33"/>
        <v>13</v>
      </c>
      <c r="BA27">
        <f t="shared" si="34"/>
        <v>-0.21921249999999998</v>
      </c>
      <c r="BB27">
        <f t="shared" si="35"/>
        <v>0.84076433121019112</v>
      </c>
    </row>
    <row r="28" spans="1:54" x14ac:dyDescent="0.3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5"/>
        <v>4</v>
      </c>
      <c r="U28">
        <f t="shared" si="6"/>
        <v>3.9478878799842083E-4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4.3478260869565216E-2</v>
      </c>
      <c r="Z28">
        <f t="shared" si="14"/>
        <v>9.4123942100404498</v>
      </c>
      <c r="AA28">
        <f t="shared" si="15"/>
        <v>0.43478260869565216</v>
      </c>
      <c r="AM28">
        <v>43</v>
      </c>
      <c r="AN28">
        <f t="shared" si="23"/>
        <v>398</v>
      </c>
      <c r="AO28">
        <f t="shared" si="24"/>
        <v>0.34163090128755363</v>
      </c>
      <c r="AP28">
        <f t="shared" si="25"/>
        <v>0.4</v>
      </c>
      <c r="AQ28">
        <f t="shared" si="26"/>
        <v>20</v>
      </c>
      <c r="AR28">
        <f t="shared" si="27"/>
        <v>0.49054545454545456</v>
      </c>
      <c r="AS28">
        <f t="shared" si="28"/>
        <v>1.1599083670540145</v>
      </c>
      <c r="AT28">
        <f t="shared" si="29"/>
        <v>0.58064516129032262</v>
      </c>
      <c r="AV28">
        <v>26</v>
      </c>
      <c r="AW28">
        <f t="shared" si="30"/>
        <v>400</v>
      </c>
      <c r="AX28">
        <f t="shared" si="31"/>
        <v>0.72072072072072069</v>
      </c>
      <c r="AY28">
        <f t="shared" si="32"/>
        <v>0</v>
      </c>
      <c r="AZ28">
        <f t="shared" si="33"/>
        <v>12</v>
      </c>
      <c r="BA28">
        <f t="shared" si="34"/>
        <v>-0.20234999999999997</v>
      </c>
      <c r="BB28">
        <f t="shared" si="35"/>
        <v>0.83439490445859876</v>
      </c>
    </row>
    <row r="29" spans="1:54" x14ac:dyDescent="0.3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5"/>
        <v>2</v>
      </c>
      <c r="U29">
        <f t="shared" si="6"/>
        <v>1.9739439399921041E-4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0.17391304347826086</v>
      </c>
      <c r="Z29">
        <f t="shared" si="14"/>
        <v>9.5958935975731698</v>
      </c>
      <c r="AA29">
        <f t="shared" si="15"/>
        <v>0.41304347826086957</v>
      </c>
      <c r="AM29">
        <v>45</v>
      </c>
      <c r="AN29">
        <f t="shared" si="23"/>
        <v>342</v>
      </c>
      <c r="AO29">
        <f t="shared" si="24"/>
        <v>0.29356223175965668</v>
      </c>
      <c r="AP29">
        <f t="shared" si="25"/>
        <v>0.5</v>
      </c>
      <c r="AQ29">
        <f t="shared" si="26"/>
        <v>22</v>
      </c>
      <c r="AR29">
        <f t="shared" si="27"/>
        <v>0.53959999999999997</v>
      </c>
      <c r="AS29">
        <f t="shared" si="28"/>
        <v>1.2960476071433158</v>
      </c>
      <c r="AT29">
        <f t="shared" si="29"/>
        <v>0.56451612903225812</v>
      </c>
      <c r="AV29">
        <v>27</v>
      </c>
      <c r="AW29">
        <f t="shared" si="30"/>
        <v>396</v>
      </c>
      <c r="AX29">
        <f t="shared" si="31"/>
        <v>0.71351351351351355</v>
      </c>
      <c r="AY29">
        <f t="shared" si="32"/>
        <v>0</v>
      </c>
      <c r="AZ29">
        <f t="shared" si="33"/>
        <v>11</v>
      </c>
      <c r="BA29">
        <f t="shared" si="34"/>
        <v>-0.1854875</v>
      </c>
      <c r="BB29">
        <f t="shared" si="35"/>
        <v>0.82802547770700641</v>
      </c>
    </row>
    <row r="30" spans="1:54" x14ac:dyDescent="0.3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5"/>
        <v>2</v>
      </c>
      <c r="U30">
        <f t="shared" si="6"/>
        <v>1.9739439399921041E-4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0.15217391304347827</v>
      </c>
      <c r="Z30">
        <f t="shared" si="14"/>
        <v>9.9628923726386081</v>
      </c>
      <c r="AA30">
        <f t="shared" si="15"/>
        <v>0.39130434782608697</v>
      </c>
      <c r="AM30">
        <v>47</v>
      </c>
      <c r="AN30">
        <f t="shared" si="23"/>
        <v>374</v>
      </c>
      <c r="AO30">
        <f t="shared" si="24"/>
        <v>0.32103004291845494</v>
      </c>
      <c r="AP30">
        <f t="shared" si="25"/>
        <v>0.6</v>
      </c>
      <c r="AQ30">
        <f t="shared" si="26"/>
        <v>24</v>
      </c>
      <c r="AR30">
        <f t="shared" si="27"/>
        <v>0.58865454545454543</v>
      </c>
      <c r="AS30">
        <f t="shared" si="28"/>
        <v>1.4321868472326174</v>
      </c>
      <c r="AT30">
        <f t="shared" si="29"/>
        <v>0.54838709677419351</v>
      </c>
      <c r="AV30">
        <v>28</v>
      </c>
      <c r="AW30">
        <f t="shared" si="30"/>
        <v>492</v>
      </c>
      <c r="AX30">
        <f t="shared" si="31"/>
        <v>0.88648648648648654</v>
      </c>
      <c r="AY30">
        <f t="shared" si="32"/>
        <v>0</v>
      </c>
      <c r="AZ30">
        <f t="shared" si="33"/>
        <v>10</v>
      </c>
      <c r="BA30">
        <f t="shared" si="34"/>
        <v>-0.168625</v>
      </c>
      <c r="BB30">
        <f t="shared" si="35"/>
        <v>0.82165605095541405</v>
      </c>
    </row>
    <row r="31" spans="1:54" x14ac:dyDescent="0.3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5"/>
        <v>1</v>
      </c>
      <c r="U31">
        <f t="shared" si="6"/>
        <v>9.8697196999605207E-5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0.39130434782608697</v>
      </c>
      <c r="Z31">
        <f t="shared" si="14"/>
        <v>10.146391760171328</v>
      </c>
      <c r="AA31">
        <f t="shared" si="15"/>
        <v>0.36956521739130432</v>
      </c>
      <c r="AM31">
        <v>48</v>
      </c>
      <c r="AN31">
        <f t="shared" si="23"/>
        <v>297</v>
      </c>
      <c r="AO31">
        <f t="shared" si="24"/>
        <v>0.25493562231759659</v>
      </c>
      <c r="AP31">
        <f t="shared" si="25"/>
        <v>0.65</v>
      </c>
      <c r="AQ31">
        <f t="shared" si="26"/>
        <v>25</v>
      </c>
      <c r="AR31">
        <f t="shared" si="27"/>
        <v>0.61318181818181816</v>
      </c>
      <c r="AS31">
        <f t="shared" si="28"/>
        <v>1.500256467277268</v>
      </c>
      <c r="AT31">
        <f t="shared" si="29"/>
        <v>0.532258064516129</v>
      </c>
      <c r="AV31">
        <v>29</v>
      </c>
      <c r="AW31">
        <f t="shared" si="30"/>
        <v>386</v>
      </c>
      <c r="AX31">
        <f t="shared" si="31"/>
        <v>0.6954954954954955</v>
      </c>
      <c r="AY31">
        <f t="shared" si="32"/>
        <v>0</v>
      </c>
      <c r="AZ31">
        <f t="shared" si="33"/>
        <v>9</v>
      </c>
      <c r="BA31">
        <f t="shared" si="34"/>
        <v>-0.15176249999999999</v>
      </c>
      <c r="BB31">
        <f t="shared" si="35"/>
        <v>0.8152866242038217</v>
      </c>
    </row>
    <row r="32" spans="1:54" x14ac:dyDescent="0.3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5"/>
        <v>2</v>
      </c>
      <c r="U32">
        <f t="shared" si="6"/>
        <v>1.9739439399921041E-4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0.13043478260869565</v>
      </c>
      <c r="Z32">
        <f t="shared" si="14"/>
        <v>10.329891147704048</v>
      </c>
      <c r="AA32">
        <f t="shared" si="15"/>
        <v>0.34782608695652173</v>
      </c>
      <c r="AM32">
        <v>50</v>
      </c>
      <c r="AN32">
        <f t="shared" si="23"/>
        <v>242</v>
      </c>
      <c r="AO32">
        <f t="shared" si="24"/>
        <v>0.20772532188841203</v>
      </c>
      <c r="AP32">
        <f t="shared" si="25"/>
        <v>0.75</v>
      </c>
      <c r="AQ32">
        <f t="shared" si="26"/>
        <v>27</v>
      </c>
      <c r="AR32">
        <f t="shared" si="27"/>
        <v>0.66223636363636362</v>
      </c>
      <c r="AS32">
        <f t="shared" si="28"/>
        <v>1.6363957073665696</v>
      </c>
      <c r="AT32">
        <f t="shared" si="29"/>
        <v>0.5161290322580645</v>
      </c>
      <c r="AV32">
        <v>30</v>
      </c>
      <c r="AW32">
        <f t="shared" si="30"/>
        <v>418</v>
      </c>
      <c r="AX32">
        <f t="shared" si="31"/>
        <v>0.75315315315315312</v>
      </c>
      <c r="AY32">
        <f t="shared" si="32"/>
        <v>0</v>
      </c>
      <c r="AZ32">
        <f t="shared" si="33"/>
        <v>8</v>
      </c>
      <c r="BA32">
        <f t="shared" si="34"/>
        <v>-0.13489999999999999</v>
      </c>
      <c r="BB32">
        <f t="shared" si="35"/>
        <v>0.80891719745222934</v>
      </c>
    </row>
    <row r="33" spans="1:54" x14ac:dyDescent="0.3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5"/>
        <v>1</v>
      </c>
      <c r="U33">
        <f t="shared" si="6"/>
        <v>9.8697196999605207E-5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0.34782608695652173</v>
      </c>
      <c r="Z33">
        <f t="shared" si="14"/>
        <v>10.513390535236766</v>
      </c>
      <c r="AA33">
        <f t="shared" si="15"/>
        <v>0.32608695652173914</v>
      </c>
      <c r="AM33">
        <v>51</v>
      </c>
      <c r="AN33">
        <f t="shared" si="23"/>
        <v>242</v>
      </c>
      <c r="AO33">
        <f t="shared" si="24"/>
        <v>0.20772532188841203</v>
      </c>
      <c r="AP33">
        <f t="shared" si="25"/>
        <v>0.8</v>
      </c>
      <c r="AQ33">
        <f t="shared" si="26"/>
        <v>28</v>
      </c>
      <c r="AR33">
        <f t="shared" si="27"/>
        <v>0.68676363636363635</v>
      </c>
      <c r="AS33">
        <f t="shared" si="28"/>
        <v>1.7044653274112203</v>
      </c>
      <c r="AT33">
        <f t="shared" si="29"/>
        <v>0.5</v>
      </c>
      <c r="AV33">
        <v>31</v>
      </c>
      <c r="AW33">
        <f t="shared" si="30"/>
        <v>555</v>
      </c>
      <c r="AX33">
        <f t="shared" si="31"/>
        <v>1</v>
      </c>
      <c r="AY33">
        <f t="shared" si="32"/>
        <v>0</v>
      </c>
      <c r="AZ33">
        <f t="shared" si="33"/>
        <v>7</v>
      </c>
      <c r="BA33">
        <f t="shared" si="34"/>
        <v>-0.11803749999999999</v>
      </c>
      <c r="BB33">
        <f t="shared" si="35"/>
        <v>0.80254777070063699</v>
      </c>
    </row>
    <row r="34" spans="1:54" x14ac:dyDescent="0.3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5"/>
        <v>2</v>
      </c>
      <c r="U34">
        <f t="shared" si="6"/>
        <v>1.9739439399921041E-4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0.10869565217391304</v>
      </c>
      <c r="Z34">
        <f t="shared" si="14"/>
        <v>10.880389310302206</v>
      </c>
      <c r="AA34">
        <f t="shared" si="15"/>
        <v>0.30434782608695654</v>
      </c>
      <c r="AM34">
        <v>52</v>
      </c>
      <c r="AN34">
        <f t="shared" si="23"/>
        <v>404</v>
      </c>
      <c r="AO34">
        <f t="shared" si="24"/>
        <v>0.34678111587982835</v>
      </c>
      <c r="AP34">
        <f t="shared" si="25"/>
        <v>0.85</v>
      </c>
      <c r="AQ34">
        <f t="shared" si="26"/>
        <v>29</v>
      </c>
      <c r="AR34">
        <f t="shared" si="27"/>
        <v>0.71129090909090908</v>
      </c>
      <c r="AS34">
        <f t="shared" si="28"/>
        <v>1.7725349474558709</v>
      </c>
      <c r="AT34">
        <f t="shared" si="29"/>
        <v>0.4838709677419355</v>
      </c>
      <c r="AV34">
        <v>32</v>
      </c>
      <c r="AW34">
        <f t="shared" si="30"/>
        <v>400</v>
      </c>
      <c r="AX34">
        <f t="shared" si="31"/>
        <v>0.72072072072072069</v>
      </c>
      <c r="AY34">
        <f t="shared" si="32"/>
        <v>0</v>
      </c>
      <c r="AZ34">
        <f t="shared" si="33"/>
        <v>6</v>
      </c>
      <c r="BA34">
        <f t="shared" si="34"/>
        <v>-0.10117499999999999</v>
      </c>
      <c r="BB34">
        <f t="shared" si="35"/>
        <v>0.79617834394904463</v>
      </c>
    </row>
    <row r="35" spans="1:54" x14ac:dyDescent="0.3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5"/>
        <v>1</v>
      </c>
      <c r="U35">
        <f t="shared" si="6"/>
        <v>9.8697196999605207E-5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0.30434782608695654</v>
      </c>
      <c r="Z35">
        <f t="shared" si="14"/>
        <v>11.430887472900364</v>
      </c>
      <c r="AA35">
        <f t="shared" si="15"/>
        <v>0.28260869565217389</v>
      </c>
      <c r="AM35">
        <v>53</v>
      </c>
      <c r="AN35">
        <f t="shared" si="23"/>
        <v>161</v>
      </c>
      <c r="AO35">
        <f t="shared" si="24"/>
        <v>0.13819742489270387</v>
      </c>
      <c r="AP35">
        <f t="shared" si="25"/>
        <v>0.9</v>
      </c>
      <c r="AQ35">
        <f t="shared" si="26"/>
        <v>30</v>
      </c>
      <c r="AR35">
        <f t="shared" si="27"/>
        <v>0.73581818181818182</v>
      </c>
      <c r="AS35">
        <f t="shared" si="28"/>
        <v>1.8406045675005218</v>
      </c>
      <c r="AT35">
        <f t="shared" si="29"/>
        <v>0.46774193548387094</v>
      </c>
      <c r="AV35">
        <v>33</v>
      </c>
      <c r="AW35">
        <f t="shared" si="30"/>
        <v>369</v>
      </c>
      <c r="AX35">
        <f t="shared" si="31"/>
        <v>0.66486486486486485</v>
      </c>
      <c r="AY35">
        <f t="shared" si="32"/>
        <v>0</v>
      </c>
      <c r="AZ35">
        <f t="shared" si="33"/>
        <v>5</v>
      </c>
      <c r="BA35">
        <f t="shared" si="34"/>
        <v>-8.4312499999999999E-2</v>
      </c>
      <c r="BB35">
        <f t="shared" si="35"/>
        <v>0.78980891719745228</v>
      </c>
    </row>
    <row r="36" spans="1:54" x14ac:dyDescent="0.3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5"/>
        <v>1</v>
      </c>
      <c r="U36">
        <f t="shared" si="6"/>
        <v>9.8697196999605207E-5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0.28260869565217389</v>
      </c>
      <c r="Z36">
        <f t="shared" si="14"/>
        <v>11.797886247965803</v>
      </c>
      <c r="AA36">
        <f t="shared" si="15"/>
        <v>0.2608695652173913</v>
      </c>
      <c r="AM36">
        <v>54</v>
      </c>
      <c r="AN36">
        <f t="shared" si="23"/>
        <v>147</v>
      </c>
      <c r="AO36">
        <f t="shared" si="24"/>
        <v>0.12618025751072962</v>
      </c>
      <c r="AP36">
        <f t="shared" si="25"/>
        <v>0.95</v>
      </c>
      <c r="AQ36">
        <f t="shared" si="26"/>
        <v>31</v>
      </c>
      <c r="AR36">
        <f t="shared" si="27"/>
        <v>0.76034545454545455</v>
      </c>
      <c r="AS36">
        <f t="shared" si="28"/>
        <v>1.9086741875451725</v>
      </c>
      <c r="AT36">
        <f t="shared" si="29"/>
        <v>0.45161290322580644</v>
      </c>
      <c r="AV36">
        <v>34</v>
      </c>
      <c r="AW36">
        <f t="shared" si="30"/>
        <v>393</v>
      </c>
      <c r="AX36">
        <f t="shared" si="31"/>
        <v>0.70810810810810809</v>
      </c>
      <c r="AY36">
        <f t="shared" si="32"/>
        <v>0</v>
      </c>
      <c r="AZ36">
        <f t="shared" si="33"/>
        <v>4</v>
      </c>
      <c r="BA36">
        <f t="shared" si="34"/>
        <v>-6.7449999999999996E-2</v>
      </c>
      <c r="BB36">
        <f t="shared" si="35"/>
        <v>0.78343949044585992</v>
      </c>
    </row>
    <row r="37" spans="1:54" x14ac:dyDescent="0.3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5"/>
        <v>1</v>
      </c>
      <c r="U37">
        <f t="shared" si="6"/>
        <v>9.8697196999605207E-5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0.2608695652173913</v>
      </c>
      <c r="Z37">
        <f t="shared" si="14"/>
        <v>12.164885023031241</v>
      </c>
      <c r="AA37">
        <f t="shared" si="15"/>
        <v>0.2391304347826087</v>
      </c>
      <c r="AM37">
        <v>55</v>
      </c>
      <c r="AN37">
        <f t="shared" si="23"/>
        <v>275</v>
      </c>
      <c r="AO37">
        <f t="shared" si="24"/>
        <v>0.23605150214592274</v>
      </c>
      <c r="AP37">
        <f t="shared" si="25"/>
        <v>1</v>
      </c>
      <c r="AQ37">
        <f t="shared" si="26"/>
        <v>32</v>
      </c>
      <c r="AR37">
        <f t="shared" si="27"/>
        <v>0.78487272727272728</v>
      </c>
      <c r="AS37">
        <f t="shared" si="28"/>
        <v>1.9767438075898232</v>
      </c>
      <c r="AT37">
        <f t="shared" si="29"/>
        <v>0.43548387096774194</v>
      </c>
      <c r="AV37">
        <v>35</v>
      </c>
      <c r="AW37">
        <f t="shared" si="30"/>
        <v>356</v>
      </c>
      <c r="AX37">
        <f t="shared" si="31"/>
        <v>0.64144144144144144</v>
      </c>
      <c r="AY37">
        <f t="shared" si="32"/>
        <v>0</v>
      </c>
      <c r="AZ37">
        <f t="shared" si="33"/>
        <v>3</v>
      </c>
      <c r="BA37">
        <f t="shared" si="34"/>
        <v>-5.0587499999999994E-2</v>
      </c>
      <c r="BB37">
        <f t="shared" si="35"/>
        <v>0.77707006369426757</v>
      </c>
    </row>
    <row r="38" spans="1:54" x14ac:dyDescent="0.3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5"/>
        <v>2</v>
      </c>
      <c r="U38">
        <f t="shared" si="6"/>
        <v>1.9739439399921041E-4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8.6956521739130432E-2</v>
      </c>
      <c r="Z38">
        <f t="shared" si="14"/>
        <v>12.348384410563961</v>
      </c>
      <c r="AA38">
        <f t="shared" si="15"/>
        <v>0.21739130434782608</v>
      </c>
      <c r="AM38">
        <v>56</v>
      </c>
      <c r="AN38">
        <f t="shared" si="23"/>
        <v>106</v>
      </c>
      <c r="AO38">
        <f t="shared" si="24"/>
        <v>9.0987124463519309E-2</v>
      </c>
      <c r="AP38">
        <f t="shared" si="25"/>
        <v>1.05</v>
      </c>
      <c r="AQ38">
        <f t="shared" si="26"/>
        <v>33</v>
      </c>
      <c r="AR38">
        <f t="shared" si="27"/>
        <v>0.8093999999999999</v>
      </c>
      <c r="AS38">
        <f t="shared" si="28"/>
        <v>2.044813427634474</v>
      </c>
      <c r="AT38">
        <f t="shared" si="29"/>
        <v>0.41935483870967744</v>
      </c>
      <c r="AV38">
        <v>36</v>
      </c>
      <c r="AW38">
        <f t="shared" si="30"/>
        <v>392</v>
      </c>
      <c r="AX38">
        <f t="shared" si="31"/>
        <v>0.70630630630630631</v>
      </c>
      <c r="AY38">
        <f t="shared" si="32"/>
        <v>0</v>
      </c>
      <c r="AZ38">
        <f t="shared" si="33"/>
        <v>2</v>
      </c>
      <c r="BA38">
        <f t="shared" si="34"/>
        <v>-3.3724999999999998E-2</v>
      </c>
      <c r="BB38">
        <f t="shared" si="35"/>
        <v>0.77070063694267521</v>
      </c>
    </row>
    <row r="39" spans="1:54" x14ac:dyDescent="0.3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5"/>
        <v>1</v>
      </c>
      <c r="U39">
        <f t="shared" si="6"/>
        <v>9.8697196999605207E-5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0.21739130434782608</v>
      </c>
      <c r="Z39">
        <f t="shared" si="14"/>
        <v>12.531883798096679</v>
      </c>
      <c r="AA39">
        <f t="shared" si="15"/>
        <v>0.19565217391304349</v>
      </c>
      <c r="AM39">
        <v>57</v>
      </c>
      <c r="AN39">
        <f t="shared" si="23"/>
        <v>154</v>
      </c>
      <c r="AO39">
        <f t="shared" si="24"/>
        <v>0.13218884120171673</v>
      </c>
      <c r="AP39">
        <f t="shared" si="25"/>
        <v>1.1000000000000001</v>
      </c>
      <c r="AQ39">
        <f t="shared" si="26"/>
        <v>34</v>
      </c>
      <c r="AR39">
        <f t="shared" si="27"/>
        <v>0.83392727272727274</v>
      </c>
      <c r="AS39">
        <f t="shared" si="28"/>
        <v>2.1128830476791247</v>
      </c>
      <c r="AT39">
        <f t="shared" si="29"/>
        <v>0.40322580645161288</v>
      </c>
      <c r="AV39">
        <v>37</v>
      </c>
      <c r="AW39">
        <f t="shared" si="30"/>
        <v>323</v>
      </c>
      <c r="AX39">
        <f t="shared" si="31"/>
        <v>0.58198198198198203</v>
      </c>
      <c r="AY39">
        <f t="shared" si="32"/>
        <v>0</v>
      </c>
      <c r="AZ39">
        <f t="shared" si="33"/>
        <v>1</v>
      </c>
      <c r="BA39">
        <f t="shared" si="34"/>
        <v>-1.6862499999999999E-2</v>
      </c>
      <c r="BB39">
        <f t="shared" si="35"/>
        <v>0.76433121019108285</v>
      </c>
    </row>
    <row r="40" spans="1:54" x14ac:dyDescent="0.3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5"/>
        <v>2</v>
      </c>
      <c r="U40">
        <f t="shared" si="6"/>
        <v>1.9739439399921041E-4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6.5217391304347824E-2</v>
      </c>
      <c r="Z40">
        <f t="shared" si="14"/>
        <v>13.082381960694837</v>
      </c>
      <c r="AA40">
        <f t="shared" si="15"/>
        <v>0.17391304347826086</v>
      </c>
      <c r="AM40">
        <v>58</v>
      </c>
      <c r="AN40">
        <f t="shared" si="23"/>
        <v>67</v>
      </c>
      <c r="AO40">
        <f t="shared" si="24"/>
        <v>5.7510729613733907E-2</v>
      </c>
      <c r="AP40">
        <f t="shared" si="25"/>
        <v>1.1499999999999999</v>
      </c>
      <c r="AQ40">
        <f t="shared" si="26"/>
        <v>35</v>
      </c>
      <c r="AR40">
        <f t="shared" si="27"/>
        <v>0.85845454545454536</v>
      </c>
      <c r="AS40">
        <f t="shared" si="28"/>
        <v>2.1809526677237754</v>
      </c>
      <c r="AT40">
        <f t="shared" si="29"/>
        <v>0.38709677419354838</v>
      </c>
      <c r="AV40">
        <v>38</v>
      </c>
      <c r="AW40">
        <f t="shared" si="30"/>
        <v>349</v>
      </c>
      <c r="AX40">
        <f t="shared" si="31"/>
        <v>0.62882882882882885</v>
      </c>
      <c r="AY40">
        <f t="shared" si="32"/>
        <v>0</v>
      </c>
      <c r="AZ40">
        <f t="shared" si="33"/>
        <v>0</v>
      </c>
      <c r="BA40">
        <f t="shared" si="34"/>
        <v>0</v>
      </c>
      <c r="BB40">
        <f t="shared" si="35"/>
        <v>0.7579617834394905</v>
      </c>
    </row>
    <row r="41" spans="1:54" x14ac:dyDescent="0.3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5"/>
        <v>1</v>
      </c>
      <c r="U41">
        <f t="shared" si="6"/>
        <v>9.8697196999605207E-5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0.17391304347826086</v>
      </c>
      <c r="Z41">
        <f t="shared" si="14"/>
        <v>13.449380735760277</v>
      </c>
      <c r="AA41">
        <f t="shared" si="15"/>
        <v>0.15217391304347827</v>
      </c>
      <c r="AM41">
        <v>59</v>
      </c>
      <c r="AN41">
        <f t="shared" si="23"/>
        <v>57</v>
      </c>
      <c r="AO41">
        <f t="shared" si="24"/>
        <v>4.8927038626609444E-2</v>
      </c>
      <c r="AP41">
        <f t="shared" si="25"/>
        <v>1.2</v>
      </c>
      <c r="AQ41">
        <f t="shared" si="26"/>
        <v>36</v>
      </c>
      <c r="AR41">
        <f t="shared" si="27"/>
        <v>0.8829818181818182</v>
      </c>
      <c r="AS41">
        <f t="shared" si="28"/>
        <v>2.2490222877684261</v>
      </c>
      <c r="AT41">
        <f t="shared" si="29"/>
        <v>0.37096774193548387</v>
      </c>
      <c r="AV41">
        <v>39</v>
      </c>
      <c r="AW41">
        <f t="shared" si="30"/>
        <v>294</v>
      </c>
      <c r="AX41">
        <f t="shared" si="31"/>
        <v>0.52972972972972976</v>
      </c>
      <c r="AY41">
        <f t="shared" si="32"/>
        <v>0</v>
      </c>
      <c r="AZ41">
        <f t="shared" si="33"/>
        <v>1</v>
      </c>
      <c r="BA41">
        <f t="shared" si="34"/>
        <v>1.6862499999999999E-2</v>
      </c>
      <c r="BB41">
        <f t="shared" si="35"/>
        <v>0.75159235668789814</v>
      </c>
    </row>
    <row r="42" spans="1:54" x14ac:dyDescent="0.3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5"/>
        <v>2</v>
      </c>
      <c r="U42">
        <f t="shared" si="6"/>
        <v>1.9739439399921041E-4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4.3478260869565216E-2</v>
      </c>
      <c r="Z42">
        <f t="shared" si="14"/>
        <v>13.632880123292995</v>
      </c>
      <c r="AA42">
        <f t="shared" si="15"/>
        <v>0.13043478260869565</v>
      </c>
      <c r="AM42">
        <v>60</v>
      </c>
      <c r="AN42">
        <f t="shared" si="23"/>
        <v>106</v>
      </c>
      <c r="AO42">
        <f t="shared" si="24"/>
        <v>9.0987124463519309E-2</v>
      </c>
      <c r="AP42">
        <f t="shared" si="25"/>
        <v>1.25</v>
      </c>
      <c r="AQ42">
        <f t="shared" si="26"/>
        <v>37</v>
      </c>
      <c r="AR42">
        <f t="shared" si="27"/>
        <v>0.90750909090909082</v>
      </c>
      <c r="AS42">
        <f t="shared" si="28"/>
        <v>2.3170919078130767</v>
      </c>
      <c r="AT42">
        <f t="shared" si="29"/>
        <v>0.35483870967741937</v>
      </c>
      <c r="AV42">
        <v>40</v>
      </c>
      <c r="AW42">
        <f t="shared" si="30"/>
        <v>312</v>
      </c>
      <c r="AX42">
        <f t="shared" si="31"/>
        <v>0.56216216216216219</v>
      </c>
      <c r="AY42">
        <f t="shared" si="32"/>
        <v>0</v>
      </c>
      <c r="AZ42">
        <f t="shared" si="33"/>
        <v>2</v>
      </c>
      <c r="BA42">
        <f t="shared" si="34"/>
        <v>3.3724999999999998E-2</v>
      </c>
      <c r="BB42">
        <f t="shared" si="35"/>
        <v>0.74522292993630568</v>
      </c>
    </row>
    <row r="43" spans="1:54" x14ac:dyDescent="0.3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5"/>
        <v>1</v>
      </c>
      <c r="U43">
        <f t="shared" si="6"/>
        <v>9.8697196999605207E-5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0.13043478260869565</v>
      </c>
      <c r="Z43">
        <f t="shared" si="14"/>
        <v>13.999878898358435</v>
      </c>
      <c r="AA43">
        <f t="shared" si="15"/>
        <v>0.10869565217391304</v>
      </c>
      <c r="AM43">
        <v>61</v>
      </c>
      <c r="AN43">
        <f t="shared" si="23"/>
        <v>46</v>
      </c>
      <c r="AO43">
        <f t="shared" si="24"/>
        <v>3.9484978540772535E-2</v>
      </c>
      <c r="AP43">
        <f t="shared" si="25"/>
        <v>1.3</v>
      </c>
      <c r="AQ43">
        <f t="shared" si="26"/>
        <v>38</v>
      </c>
      <c r="AR43">
        <f t="shared" si="27"/>
        <v>0.93203636363636366</v>
      </c>
      <c r="AS43">
        <f t="shared" si="28"/>
        <v>2.3851615278577278</v>
      </c>
      <c r="AT43">
        <f t="shared" si="29"/>
        <v>0.33870967741935482</v>
      </c>
      <c r="AV43">
        <v>41</v>
      </c>
      <c r="AW43">
        <f t="shared" si="30"/>
        <v>313</v>
      </c>
      <c r="AX43">
        <f t="shared" si="31"/>
        <v>0.56396396396396398</v>
      </c>
      <c r="AY43">
        <f t="shared" si="32"/>
        <v>0</v>
      </c>
      <c r="AZ43">
        <f t="shared" si="33"/>
        <v>3</v>
      </c>
      <c r="BA43">
        <f t="shared" si="34"/>
        <v>5.0587499999999994E-2</v>
      </c>
      <c r="BB43">
        <f t="shared" si="35"/>
        <v>0.73885350318471332</v>
      </c>
    </row>
    <row r="44" spans="1:54" x14ac:dyDescent="0.3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5"/>
        <v>1</v>
      </c>
      <c r="U44">
        <f t="shared" si="6"/>
        <v>9.8697196999605207E-5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0.10869565217391304</v>
      </c>
      <c r="Z44">
        <f t="shared" si="14"/>
        <v>14.366877673423874</v>
      </c>
      <c r="AA44">
        <f t="shared" si="15"/>
        <v>8.6956521739130432E-2</v>
      </c>
      <c r="AM44">
        <v>62</v>
      </c>
      <c r="AN44">
        <f t="shared" si="23"/>
        <v>54</v>
      </c>
      <c r="AO44">
        <f t="shared" si="24"/>
        <v>4.63519313304721E-2</v>
      </c>
      <c r="AP44">
        <f t="shared" si="25"/>
        <v>1.35</v>
      </c>
      <c r="AQ44">
        <f t="shared" si="26"/>
        <v>39</v>
      </c>
      <c r="AR44">
        <f t="shared" si="27"/>
        <v>0.95656363636363628</v>
      </c>
      <c r="AS44">
        <f t="shared" si="28"/>
        <v>2.4532311479023785</v>
      </c>
      <c r="AT44">
        <f t="shared" si="29"/>
        <v>0.32258064516129031</v>
      </c>
      <c r="AV44">
        <v>42</v>
      </c>
      <c r="AW44">
        <f t="shared" si="30"/>
        <v>282</v>
      </c>
      <c r="AX44">
        <f t="shared" si="31"/>
        <v>0.50810810810810814</v>
      </c>
      <c r="AY44">
        <f t="shared" si="32"/>
        <v>0</v>
      </c>
      <c r="AZ44">
        <f t="shared" si="33"/>
        <v>4</v>
      </c>
      <c r="BA44">
        <f t="shared" si="34"/>
        <v>6.7449999999999996E-2</v>
      </c>
      <c r="BB44">
        <f t="shared" si="35"/>
        <v>0.73248407643312097</v>
      </c>
    </row>
    <row r="45" spans="1:54" x14ac:dyDescent="0.3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5"/>
        <v>1</v>
      </c>
      <c r="U45">
        <f t="shared" si="6"/>
        <v>9.8697196999605207E-5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8.6956521739130432E-2</v>
      </c>
      <c r="Z45">
        <f t="shared" si="14"/>
        <v>14.733876448489312</v>
      </c>
      <c r="AA45">
        <f t="shared" si="15"/>
        <v>6.5217391304347824E-2</v>
      </c>
      <c r="AM45">
        <v>63</v>
      </c>
      <c r="AN45">
        <f t="shared" si="23"/>
        <v>37</v>
      </c>
      <c r="AO45">
        <f t="shared" si="24"/>
        <v>3.1759656652360517E-2</v>
      </c>
      <c r="AP45">
        <f t="shared" si="25"/>
        <v>1.4</v>
      </c>
      <c r="AQ45">
        <f t="shared" si="26"/>
        <v>40</v>
      </c>
      <c r="AR45">
        <f t="shared" si="27"/>
        <v>0.98109090909090912</v>
      </c>
      <c r="AS45">
        <f t="shared" si="28"/>
        <v>2.5213007679470292</v>
      </c>
      <c r="AT45">
        <f t="shared" si="29"/>
        <v>0.30645161290322581</v>
      </c>
      <c r="AV45">
        <v>43</v>
      </c>
      <c r="AW45">
        <f t="shared" si="30"/>
        <v>276</v>
      </c>
      <c r="AX45">
        <f t="shared" si="31"/>
        <v>0.49729729729729732</v>
      </c>
      <c r="AY45">
        <f t="shared" si="32"/>
        <v>0</v>
      </c>
      <c r="AZ45">
        <f t="shared" si="33"/>
        <v>5</v>
      </c>
      <c r="BA45">
        <f t="shared" si="34"/>
        <v>8.4312499999999999E-2</v>
      </c>
      <c r="BB45">
        <f t="shared" si="35"/>
        <v>0.72611464968152861</v>
      </c>
    </row>
    <row r="46" spans="1:54" x14ac:dyDescent="0.3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5"/>
        <v>1</v>
      </c>
      <c r="U46">
        <f t="shared" si="6"/>
        <v>9.8697196999605207E-5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6.5217391304347824E-2</v>
      </c>
      <c r="Z46">
        <f t="shared" si="14"/>
        <v>14.917375836022032</v>
      </c>
      <c r="AA46">
        <f t="shared" si="15"/>
        <v>4.3478260869565216E-2</v>
      </c>
      <c r="AM46">
        <v>64</v>
      </c>
      <c r="AN46">
        <f t="shared" si="23"/>
        <v>52</v>
      </c>
      <c r="AO46">
        <f t="shared" si="24"/>
        <v>4.4635193133047209E-2</v>
      </c>
      <c r="AP46">
        <f t="shared" si="25"/>
        <v>1.45</v>
      </c>
      <c r="AQ46">
        <f t="shared" si="26"/>
        <v>41</v>
      </c>
      <c r="AR46">
        <f t="shared" si="27"/>
        <v>1.0056181818181817</v>
      </c>
      <c r="AS46">
        <f t="shared" si="28"/>
        <v>2.5893703879916798</v>
      </c>
      <c r="AT46">
        <f t="shared" si="29"/>
        <v>0.29032258064516131</v>
      </c>
      <c r="AV46">
        <v>44</v>
      </c>
      <c r="AW46">
        <f t="shared" si="30"/>
        <v>359</v>
      </c>
      <c r="AX46">
        <f t="shared" si="31"/>
        <v>0.6468468468468469</v>
      </c>
      <c r="AY46">
        <f t="shared" si="32"/>
        <v>0</v>
      </c>
      <c r="AZ46">
        <f t="shared" si="33"/>
        <v>6</v>
      </c>
      <c r="BA46">
        <f t="shared" si="34"/>
        <v>0.10117499999999999</v>
      </c>
      <c r="BB46">
        <f t="shared" si="35"/>
        <v>0.71974522292993626</v>
      </c>
    </row>
    <row r="47" spans="1:54" x14ac:dyDescent="0.3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5"/>
        <v>1</v>
      </c>
      <c r="U47">
        <f t="shared" si="6"/>
        <v>9.8697196999605207E-5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4.3478260869565216E-2</v>
      </c>
      <c r="Z47">
        <f t="shared" si="14"/>
        <v>16.568870323816508</v>
      </c>
      <c r="AA47">
        <f t="shared" si="15"/>
        <v>2.1739130434782608E-2</v>
      </c>
      <c r="AM47">
        <v>65</v>
      </c>
      <c r="AN47">
        <f t="shared" si="23"/>
        <v>19</v>
      </c>
      <c r="AO47">
        <f t="shared" si="24"/>
        <v>1.6309012875536481E-2</v>
      </c>
      <c r="AP47">
        <f t="shared" si="25"/>
        <v>1.5</v>
      </c>
      <c r="AQ47">
        <f t="shared" si="26"/>
        <v>42</v>
      </c>
      <c r="AR47">
        <f t="shared" si="27"/>
        <v>1.0301454545454545</v>
      </c>
      <c r="AS47">
        <f t="shared" si="28"/>
        <v>2.6574400080363305</v>
      </c>
      <c r="AT47">
        <f t="shared" si="29"/>
        <v>0.27419354838709675</v>
      </c>
      <c r="AV47">
        <v>45</v>
      </c>
      <c r="AW47">
        <f t="shared" si="30"/>
        <v>266</v>
      </c>
      <c r="AX47">
        <f t="shared" si="31"/>
        <v>0.47927927927927927</v>
      </c>
      <c r="AY47">
        <f t="shared" si="32"/>
        <v>0</v>
      </c>
      <c r="AZ47">
        <f t="shared" si="33"/>
        <v>7</v>
      </c>
      <c r="BA47">
        <f t="shared" si="34"/>
        <v>0.11803749999999999</v>
      </c>
      <c r="BB47">
        <f t="shared" si="35"/>
        <v>0.7133757961783439</v>
      </c>
    </row>
    <row r="48" spans="1:54" x14ac:dyDescent="0.3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A48">
        <f>MAX(AA2:AA47)</f>
        <v>1</v>
      </c>
      <c r="AM48">
        <v>66</v>
      </c>
      <c r="AN48">
        <f t="shared" si="23"/>
        <v>13</v>
      </c>
      <c r="AO48">
        <f t="shared" si="24"/>
        <v>1.1158798283261802E-2</v>
      </c>
      <c r="AP48">
        <f t="shared" si="25"/>
        <v>1.55</v>
      </c>
      <c r="AQ48">
        <f t="shared" si="26"/>
        <v>43</v>
      </c>
      <c r="AR48">
        <f t="shared" si="27"/>
        <v>1.0546727272727272</v>
      </c>
      <c r="AS48">
        <f t="shared" si="28"/>
        <v>2.7255096280809812</v>
      </c>
      <c r="AT48">
        <f t="shared" si="29"/>
        <v>0.25806451612903225</v>
      </c>
      <c r="AV48">
        <v>46</v>
      </c>
      <c r="AW48">
        <f t="shared" si="30"/>
        <v>263</v>
      </c>
      <c r="AX48">
        <f t="shared" si="31"/>
        <v>0.47387387387387386</v>
      </c>
      <c r="AY48">
        <f t="shared" si="32"/>
        <v>0</v>
      </c>
      <c r="AZ48">
        <f t="shared" si="33"/>
        <v>8</v>
      </c>
      <c r="BA48">
        <f t="shared" si="34"/>
        <v>0.13489999999999999</v>
      </c>
      <c r="BB48">
        <f t="shared" si="35"/>
        <v>0.70700636942675155</v>
      </c>
    </row>
    <row r="49" spans="1:54" x14ac:dyDescent="0.3">
      <c r="A49">
        <v>38</v>
      </c>
      <c r="B49">
        <v>2</v>
      </c>
      <c r="C49">
        <v>2</v>
      </c>
      <c r="D49">
        <v>0</v>
      </c>
      <c r="E49">
        <v>21</v>
      </c>
      <c r="AM49">
        <v>67</v>
      </c>
      <c r="AN49">
        <f t="shared" si="23"/>
        <v>34</v>
      </c>
      <c r="AO49">
        <f t="shared" si="24"/>
        <v>2.9184549356223177E-2</v>
      </c>
      <c r="AP49">
        <f t="shared" si="25"/>
        <v>1.6</v>
      </c>
      <c r="AQ49">
        <f t="shared" si="26"/>
        <v>44</v>
      </c>
      <c r="AR49">
        <f t="shared" si="27"/>
        <v>1.0791999999999999</v>
      </c>
      <c r="AS49">
        <f t="shared" si="28"/>
        <v>2.7935792481256319</v>
      </c>
      <c r="AT49">
        <f t="shared" si="29"/>
        <v>0.24193548387096775</v>
      </c>
      <c r="AV49">
        <v>47</v>
      </c>
      <c r="AW49">
        <f t="shared" si="30"/>
        <v>235</v>
      </c>
      <c r="AX49">
        <f t="shared" si="31"/>
        <v>0.42342342342342343</v>
      </c>
      <c r="AY49">
        <f t="shared" si="32"/>
        <v>0</v>
      </c>
      <c r="AZ49">
        <f t="shared" si="33"/>
        <v>9</v>
      </c>
      <c r="BA49">
        <f t="shared" si="34"/>
        <v>0.15176249999999999</v>
      </c>
      <c r="BB49">
        <f t="shared" si="35"/>
        <v>0.70063694267515919</v>
      </c>
    </row>
    <row r="50" spans="1:54" x14ac:dyDescent="0.3">
      <c r="A50">
        <v>41</v>
      </c>
      <c r="B50">
        <v>2</v>
      </c>
      <c r="C50">
        <v>2</v>
      </c>
      <c r="D50">
        <v>0</v>
      </c>
      <c r="E50">
        <v>6</v>
      </c>
      <c r="AM50">
        <v>68</v>
      </c>
      <c r="AN50">
        <f t="shared" si="23"/>
        <v>15</v>
      </c>
      <c r="AO50">
        <f t="shared" si="24"/>
        <v>1.2875536480686695E-2</v>
      </c>
      <c r="AP50">
        <f t="shared" si="25"/>
        <v>1.65</v>
      </c>
      <c r="AQ50">
        <f t="shared" si="26"/>
        <v>45</v>
      </c>
      <c r="AR50">
        <f t="shared" si="27"/>
        <v>1.1037272727272727</v>
      </c>
      <c r="AS50">
        <f t="shared" si="28"/>
        <v>2.861648868170283</v>
      </c>
      <c r="AT50">
        <f t="shared" si="29"/>
        <v>0.22580645161290322</v>
      </c>
      <c r="AV50">
        <v>48</v>
      </c>
      <c r="AW50">
        <f t="shared" si="30"/>
        <v>235</v>
      </c>
      <c r="AX50">
        <f t="shared" si="31"/>
        <v>0.42342342342342343</v>
      </c>
      <c r="AY50">
        <f t="shared" si="32"/>
        <v>0</v>
      </c>
      <c r="AZ50">
        <f t="shared" si="33"/>
        <v>10</v>
      </c>
      <c r="BA50">
        <f t="shared" si="34"/>
        <v>0.168625</v>
      </c>
      <c r="BB50">
        <f t="shared" si="35"/>
        <v>0.69426751592356684</v>
      </c>
    </row>
    <row r="51" spans="1:54" x14ac:dyDescent="0.3">
      <c r="A51">
        <v>80</v>
      </c>
      <c r="B51">
        <v>2</v>
      </c>
      <c r="C51">
        <v>2</v>
      </c>
      <c r="D51">
        <v>0</v>
      </c>
      <c r="E51">
        <v>24</v>
      </c>
      <c r="AM51">
        <v>69</v>
      </c>
      <c r="AN51">
        <f t="shared" si="23"/>
        <v>11</v>
      </c>
      <c r="AO51">
        <f t="shared" si="24"/>
        <v>9.4420600858369091E-3</v>
      </c>
      <c r="AP51">
        <f t="shared" si="25"/>
        <v>1.7</v>
      </c>
      <c r="AQ51">
        <f t="shared" si="26"/>
        <v>46</v>
      </c>
      <c r="AR51">
        <f t="shared" si="27"/>
        <v>1.1282545454545454</v>
      </c>
      <c r="AS51">
        <f t="shared" si="28"/>
        <v>2.9297184882149336</v>
      </c>
      <c r="AT51">
        <f t="shared" si="29"/>
        <v>0.20967741935483872</v>
      </c>
      <c r="AV51">
        <v>49</v>
      </c>
      <c r="AW51">
        <f t="shared" si="30"/>
        <v>249</v>
      </c>
      <c r="AX51">
        <f t="shared" si="31"/>
        <v>0.44864864864864867</v>
      </c>
      <c r="AY51">
        <f t="shared" si="32"/>
        <v>0</v>
      </c>
      <c r="AZ51">
        <f t="shared" si="33"/>
        <v>11</v>
      </c>
      <c r="BA51">
        <f t="shared" si="34"/>
        <v>0.1854875</v>
      </c>
      <c r="BB51">
        <f t="shared" si="35"/>
        <v>0.68789808917197448</v>
      </c>
    </row>
    <row r="52" spans="1:54" x14ac:dyDescent="0.3">
      <c r="A52">
        <v>77</v>
      </c>
      <c r="B52">
        <v>5</v>
      </c>
      <c r="C52">
        <v>2</v>
      </c>
      <c r="D52">
        <v>0</v>
      </c>
      <c r="E52">
        <v>29</v>
      </c>
      <c r="AM52">
        <v>70</v>
      </c>
      <c r="AN52">
        <f t="shared" si="23"/>
        <v>7</v>
      </c>
      <c r="AO52">
        <f t="shared" si="24"/>
        <v>6.0085836909871248E-3</v>
      </c>
      <c r="AP52">
        <f t="shared" si="25"/>
        <v>1.75</v>
      </c>
      <c r="AQ52">
        <f t="shared" si="26"/>
        <v>47</v>
      </c>
      <c r="AR52">
        <f t="shared" si="27"/>
        <v>1.1527818181818181</v>
      </c>
      <c r="AS52">
        <f t="shared" si="28"/>
        <v>2.9977881082595843</v>
      </c>
      <c r="AT52">
        <f t="shared" si="29"/>
        <v>0.19354838709677419</v>
      </c>
      <c r="AV52">
        <v>50</v>
      </c>
      <c r="AW52">
        <f t="shared" si="30"/>
        <v>128</v>
      </c>
      <c r="AX52">
        <f t="shared" si="31"/>
        <v>0.23063063063063063</v>
      </c>
      <c r="AY52">
        <f t="shared" si="32"/>
        <v>0</v>
      </c>
      <c r="AZ52">
        <f t="shared" si="33"/>
        <v>12</v>
      </c>
      <c r="BA52">
        <f t="shared" si="34"/>
        <v>0.20234999999999997</v>
      </c>
      <c r="BB52">
        <f t="shared" si="35"/>
        <v>0.68152866242038213</v>
      </c>
    </row>
    <row r="53" spans="1:54" x14ac:dyDescent="0.3">
      <c r="A53">
        <v>13</v>
      </c>
      <c r="B53">
        <v>0</v>
      </c>
      <c r="C53">
        <v>0</v>
      </c>
      <c r="D53">
        <v>2</v>
      </c>
      <c r="E53">
        <v>7</v>
      </c>
      <c r="AM53">
        <v>71</v>
      </c>
      <c r="AN53">
        <f t="shared" si="23"/>
        <v>3</v>
      </c>
      <c r="AO53">
        <f t="shared" si="24"/>
        <v>2.5751072961373391E-3</v>
      </c>
      <c r="AP53">
        <f t="shared" si="25"/>
        <v>1.8</v>
      </c>
      <c r="AQ53">
        <f t="shared" si="26"/>
        <v>48</v>
      </c>
      <c r="AR53">
        <f t="shared" si="27"/>
        <v>1.1773090909090909</v>
      </c>
      <c r="AS53">
        <f t="shared" si="28"/>
        <v>3.065857728304235</v>
      </c>
      <c r="AT53">
        <f t="shared" si="29"/>
        <v>0.17741935483870969</v>
      </c>
      <c r="AV53">
        <v>51</v>
      </c>
      <c r="AW53">
        <f t="shared" si="30"/>
        <v>242</v>
      </c>
      <c r="AX53">
        <f t="shared" si="31"/>
        <v>0.43603603603603602</v>
      </c>
      <c r="AY53">
        <f t="shared" si="32"/>
        <v>0</v>
      </c>
      <c r="AZ53">
        <f t="shared" si="33"/>
        <v>13</v>
      </c>
      <c r="BA53">
        <f t="shared" si="34"/>
        <v>0.21921249999999998</v>
      </c>
      <c r="BB53">
        <f t="shared" si="35"/>
        <v>0.67515923566878977</v>
      </c>
    </row>
    <row r="54" spans="1:54" x14ac:dyDescent="0.3">
      <c r="A54">
        <v>14</v>
      </c>
      <c r="B54">
        <v>0</v>
      </c>
      <c r="C54">
        <v>0</v>
      </c>
      <c r="D54">
        <v>2</v>
      </c>
      <c r="E54">
        <v>2</v>
      </c>
      <c r="AM54">
        <v>72</v>
      </c>
      <c r="AN54">
        <f t="shared" si="23"/>
        <v>10</v>
      </c>
      <c r="AO54">
        <f t="shared" si="24"/>
        <v>8.5836909871244635E-3</v>
      </c>
      <c r="AP54">
        <f t="shared" si="25"/>
        <v>1.85</v>
      </c>
      <c r="AQ54">
        <f t="shared" si="26"/>
        <v>49</v>
      </c>
      <c r="AR54">
        <f t="shared" si="27"/>
        <v>1.2018363636363636</v>
      </c>
      <c r="AS54">
        <f t="shared" si="28"/>
        <v>3.1339273483488856</v>
      </c>
      <c r="AT54">
        <f t="shared" si="29"/>
        <v>0.16129032258064516</v>
      </c>
      <c r="AV54">
        <v>52</v>
      </c>
      <c r="AW54">
        <f t="shared" si="30"/>
        <v>309</v>
      </c>
      <c r="AX54">
        <f t="shared" si="31"/>
        <v>0.55675675675675673</v>
      </c>
      <c r="AY54">
        <f t="shared" si="32"/>
        <v>0</v>
      </c>
      <c r="AZ54">
        <f t="shared" si="33"/>
        <v>14</v>
      </c>
      <c r="BA54">
        <f t="shared" si="34"/>
        <v>0.23607499999999998</v>
      </c>
      <c r="BB54">
        <f t="shared" si="35"/>
        <v>0.66878980891719741</v>
      </c>
    </row>
    <row r="55" spans="1:54" x14ac:dyDescent="0.3">
      <c r="A55">
        <v>14</v>
      </c>
      <c r="B55">
        <v>0</v>
      </c>
      <c r="C55">
        <v>0</v>
      </c>
      <c r="D55">
        <v>2</v>
      </c>
      <c r="E55">
        <v>5</v>
      </c>
      <c r="AM55">
        <v>73</v>
      </c>
      <c r="AN55">
        <f t="shared" si="23"/>
        <v>2</v>
      </c>
      <c r="AO55">
        <f t="shared" si="24"/>
        <v>1.7167381974248926E-3</v>
      </c>
      <c r="AP55">
        <f t="shared" si="25"/>
        <v>1.9</v>
      </c>
      <c r="AQ55">
        <f t="shared" si="26"/>
        <v>50</v>
      </c>
      <c r="AR55">
        <f t="shared" si="27"/>
        <v>1.2263636363636363</v>
      </c>
      <c r="AS55">
        <f t="shared" si="28"/>
        <v>3.2019969683935363</v>
      </c>
      <c r="AT55">
        <f t="shared" si="29"/>
        <v>0.14516129032258066</v>
      </c>
      <c r="AV55">
        <v>53</v>
      </c>
      <c r="AW55">
        <f t="shared" si="30"/>
        <v>320</v>
      </c>
      <c r="AX55">
        <f t="shared" si="31"/>
        <v>0.57657657657657657</v>
      </c>
      <c r="AY55">
        <f t="shared" si="32"/>
        <v>0</v>
      </c>
      <c r="AZ55">
        <f t="shared" si="33"/>
        <v>15</v>
      </c>
      <c r="BA55">
        <f t="shared" si="34"/>
        <v>0.25293749999999998</v>
      </c>
      <c r="BB55">
        <f t="shared" si="35"/>
        <v>0.66242038216560506</v>
      </c>
    </row>
    <row r="56" spans="1:54" x14ac:dyDescent="0.3">
      <c r="A56">
        <v>14</v>
      </c>
      <c r="B56">
        <v>0</v>
      </c>
      <c r="C56">
        <v>0</v>
      </c>
      <c r="D56">
        <v>2</v>
      </c>
      <c r="E56">
        <v>8</v>
      </c>
      <c r="AM56">
        <v>74</v>
      </c>
      <c r="AN56">
        <f t="shared" si="23"/>
        <v>5</v>
      </c>
      <c r="AO56">
        <f t="shared" si="24"/>
        <v>4.2918454935622317E-3</v>
      </c>
      <c r="AP56">
        <f t="shared" si="25"/>
        <v>1.95</v>
      </c>
      <c r="AQ56">
        <f t="shared" si="26"/>
        <v>51</v>
      </c>
      <c r="AR56">
        <f t="shared" si="27"/>
        <v>1.2508909090909091</v>
      </c>
      <c r="AS56">
        <f t="shared" si="28"/>
        <v>3.270066588438187</v>
      </c>
      <c r="AT56">
        <f t="shared" si="29"/>
        <v>0.12903225806451613</v>
      </c>
      <c r="AV56">
        <v>54</v>
      </c>
      <c r="AW56">
        <f t="shared" si="30"/>
        <v>271</v>
      </c>
      <c r="AX56">
        <f t="shared" si="31"/>
        <v>0.4882882882882883</v>
      </c>
      <c r="AY56">
        <f t="shared" si="32"/>
        <v>0</v>
      </c>
      <c r="AZ56">
        <f t="shared" si="33"/>
        <v>16</v>
      </c>
      <c r="BA56">
        <f t="shared" si="34"/>
        <v>0.26979999999999998</v>
      </c>
      <c r="BB56">
        <f t="shared" si="35"/>
        <v>0.6560509554140127</v>
      </c>
    </row>
    <row r="57" spans="1:54" x14ac:dyDescent="0.3">
      <c r="A57">
        <v>14</v>
      </c>
      <c r="B57">
        <v>0</v>
      </c>
      <c r="C57">
        <v>0</v>
      </c>
      <c r="D57">
        <v>2</v>
      </c>
      <c r="E57">
        <v>11</v>
      </c>
      <c r="AM57">
        <v>75</v>
      </c>
      <c r="AN57">
        <f t="shared" si="23"/>
        <v>1</v>
      </c>
      <c r="AO57">
        <f t="shared" si="24"/>
        <v>8.5836909871244631E-4</v>
      </c>
      <c r="AP57">
        <f t="shared" si="25"/>
        <v>2</v>
      </c>
      <c r="AQ57">
        <f t="shared" si="26"/>
        <v>52</v>
      </c>
      <c r="AR57">
        <f t="shared" si="27"/>
        <v>1.2754181818181818</v>
      </c>
      <c r="AS57">
        <f t="shared" si="28"/>
        <v>3.3381362084828381</v>
      </c>
      <c r="AT57">
        <f t="shared" si="29"/>
        <v>0.11290322580645161</v>
      </c>
      <c r="AV57">
        <v>55</v>
      </c>
      <c r="AW57">
        <f t="shared" si="30"/>
        <v>290</v>
      </c>
      <c r="AX57">
        <f t="shared" si="31"/>
        <v>0.52252252252252251</v>
      </c>
      <c r="AY57">
        <f t="shared" si="32"/>
        <v>0</v>
      </c>
      <c r="AZ57">
        <f t="shared" si="33"/>
        <v>17</v>
      </c>
      <c r="BA57">
        <f t="shared" si="34"/>
        <v>0.28666249999999999</v>
      </c>
      <c r="BB57">
        <f t="shared" si="35"/>
        <v>0.64968152866242035</v>
      </c>
    </row>
    <row r="58" spans="1:54" x14ac:dyDescent="0.3">
      <c r="A58">
        <v>15</v>
      </c>
      <c r="B58">
        <v>0</v>
      </c>
      <c r="C58">
        <v>0</v>
      </c>
      <c r="D58">
        <v>2</v>
      </c>
      <c r="E58">
        <v>11</v>
      </c>
      <c r="AM58">
        <v>76</v>
      </c>
      <c r="AN58">
        <f t="shared" si="23"/>
        <v>1</v>
      </c>
      <c r="AO58">
        <f t="shared" si="24"/>
        <v>8.5836909871244631E-4</v>
      </c>
      <c r="AP58">
        <f t="shared" si="25"/>
        <v>2.0499999999999998</v>
      </c>
      <c r="AQ58">
        <f t="shared" si="26"/>
        <v>53</v>
      </c>
      <c r="AR58">
        <f t="shared" si="27"/>
        <v>1.2999454545454545</v>
      </c>
      <c r="AS58">
        <f t="shared" si="28"/>
        <v>3.4062058285274888</v>
      </c>
      <c r="AT58">
        <f t="shared" si="29"/>
        <v>9.6774193548387094E-2</v>
      </c>
      <c r="AV58">
        <v>56</v>
      </c>
      <c r="AW58">
        <f t="shared" si="30"/>
        <v>309</v>
      </c>
      <c r="AX58">
        <f t="shared" si="31"/>
        <v>0.55675675675675673</v>
      </c>
      <c r="AY58">
        <f t="shared" si="32"/>
        <v>0</v>
      </c>
      <c r="AZ58">
        <f t="shared" si="33"/>
        <v>18</v>
      </c>
      <c r="BA58">
        <f t="shared" si="34"/>
        <v>0.30352499999999999</v>
      </c>
      <c r="BB58">
        <f t="shared" si="35"/>
        <v>0.64331210191082799</v>
      </c>
    </row>
    <row r="59" spans="1:54" x14ac:dyDescent="0.3">
      <c r="A59">
        <v>15</v>
      </c>
      <c r="B59">
        <v>0</v>
      </c>
      <c r="C59">
        <v>0</v>
      </c>
      <c r="D59">
        <v>2</v>
      </c>
      <c r="E59">
        <v>12</v>
      </c>
      <c r="AM59">
        <v>77</v>
      </c>
      <c r="AN59">
        <f t="shared" si="23"/>
        <v>4</v>
      </c>
      <c r="AO59">
        <f t="shared" si="24"/>
        <v>3.4334763948497852E-3</v>
      </c>
      <c r="AP59">
        <f t="shared" si="25"/>
        <v>2.1</v>
      </c>
      <c r="AQ59">
        <f t="shared" si="26"/>
        <v>54</v>
      </c>
      <c r="AR59">
        <f t="shared" si="27"/>
        <v>1.3244727272727272</v>
      </c>
      <c r="AS59">
        <f t="shared" si="28"/>
        <v>3.4742754485721394</v>
      </c>
      <c r="AT59">
        <f t="shared" si="29"/>
        <v>8.0645161290322578E-2</v>
      </c>
      <c r="AV59">
        <v>57</v>
      </c>
      <c r="AW59">
        <f t="shared" si="30"/>
        <v>274</v>
      </c>
      <c r="AX59">
        <f t="shared" si="31"/>
        <v>0.4936936936936937</v>
      </c>
      <c r="AY59">
        <f t="shared" si="32"/>
        <v>0</v>
      </c>
      <c r="AZ59">
        <f t="shared" si="33"/>
        <v>19</v>
      </c>
      <c r="BA59">
        <f t="shared" si="34"/>
        <v>0.32038749999999999</v>
      </c>
      <c r="BB59">
        <f t="shared" si="35"/>
        <v>0.63694267515923564</v>
      </c>
    </row>
    <row r="60" spans="1:54" x14ac:dyDescent="0.3">
      <c r="A60">
        <v>16</v>
      </c>
      <c r="B60">
        <v>0</v>
      </c>
      <c r="C60">
        <v>0</v>
      </c>
      <c r="D60">
        <v>2</v>
      </c>
      <c r="E60">
        <v>8</v>
      </c>
      <c r="AM60">
        <v>78</v>
      </c>
      <c r="AN60">
        <f t="shared" si="23"/>
        <v>2</v>
      </c>
      <c r="AO60">
        <f t="shared" si="24"/>
        <v>1.7167381974248926E-3</v>
      </c>
      <c r="AP60">
        <f t="shared" si="25"/>
        <v>2.15</v>
      </c>
      <c r="AQ60">
        <f t="shared" si="26"/>
        <v>55</v>
      </c>
      <c r="AR60">
        <f t="shared" si="27"/>
        <v>1.349</v>
      </c>
      <c r="AS60">
        <f t="shared" si="28"/>
        <v>3.5423450686167901</v>
      </c>
      <c r="AT60">
        <f t="shared" si="29"/>
        <v>6.4516129032258063E-2</v>
      </c>
      <c r="AV60">
        <v>58</v>
      </c>
      <c r="AW60">
        <f t="shared" si="30"/>
        <v>276</v>
      </c>
      <c r="AX60">
        <f t="shared" si="31"/>
        <v>0.49729729729729732</v>
      </c>
      <c r="AY60">
        <f t="shared" si="32"/>
        <v>0</v>
      </c>
      <c r="AZ60">
        <f t="shared" si="33"/>
        <v>20</v>
      </c>
      <c r="BA60">
        <f t="shared" si="34"/>
        <v>0.33724999999999999</v>
      </c>
      <c r="BB60">
        <f t="shared" si="35"/>
        <v>0.63057324840764328</v>
      </c>
    </row>
    <row r="61" spans="1:54" x14ac:dyDescent="0.3">
      <c r="A61">
        <v>16</v>
      </c>
      <c r="B61">
        <v>0</v>
      </c>
      <c r="C61">
        <v>0</v>
      </c>
      <c r="D61">
        <v>2</v>
      </c>
      <c r="E61">
        <v>9</v>
      </c>
      <c r="AM61">
        <v>79</v>
      </c>
      <c r="AN61">
        <f t="shared" si="23"/>
        <v>3</v>
      </c>
      <c r="AO61">
        <f t="shared" si="24"/>
        <v>2.5751072961373391E-3</v>
      </c>
      <c r="AP61">
        <f t="shared" si="25"/>
        <v>2.2000000000000002</v>
      </c>
      <c r="AQ61">
        <f t="shared" si="26"/>
        <v>56</v>
      </c>
      <c r="AR61">
        <f t="shared" si="27"/>
        <v>1.3735272727272727</v>
      </c>
      <c r="AS61">
        <f t="shared" si="28"/>
        <v>3.6104146886614408</v>
      </c>
      <c r="AT61">
        <f t="shared" si="29"/>
        <v>4.8387096774193547E-2</v>
      </c>
      <c r="AV61">
        <v>59</v>
      </c>
      <c r="AW61">
        <f t="shared" si="30"/>
        <v>263</v>
      </c>
      <c r="AX61">
        <f t="shared" si="31"/>
        <v>0.47387387387387386</v>
      </c>
      <c r="AY61">
        <f t="shared" si="32"/>
        <v>0</v>
      </c>
      <c r="AZ61">
        <f t="shared" si="33"/>
        <v>21</v>
      </c>
      <c r="BA61">
        <f t="shared" si="34"/>
        <v>0.3541125</v>
      </c>
      <c r="BB61">
        <f t="shared" si="35"/>
        <v>0.62420382165605093</v>
      </c>
    </row>
    <row r="62" spans="1:54" x14ac:dyDescent="0.3">
      <c r="A62">
        <v>16</v>
      </c>
      <c r="B62">
        <v>0</v>
      </c>
      <c r="C62">
        <v>0</v>
      </c>
      <c r="D62">
        <v>2</v>
      </c>
      <c r="E62">
        <v>9</v>
      </c>
      <c r="AM62">
        <v>82</v>
      </c>
      <c r="AN62">
        <f t="shared" si="23"/>
        <v>4</v>
      </c>
      <c r="AO62">
        <f t="shared" si="24"/>
        <v>3.4334763948497852E-3</v>
      </c>
      <c r="AP62">
        <f t="shared" si="25"/>
        <v>2.35</v>
      </c>
      <c r="AQ62">
        <f t="shared" si="26"/>
        <v>59</v>
      </c>
      <c r="AR62">
        <f t="shared" si="27"/>
        <v>1.4471090909090909</v>
      </c>
      <c r="AS62">
        <f t="shared" si="28"/>
        <v>3.8146235487953932</v>
      </c>
      <c r="AT62">
        <f t="shared" si="29"/>
        <v>3.2258064516129031E-2</v>
      </c>
      <c r="AV62">
        <v>60</v>
      </c>
      <c r="AW62">
        <f t="shared" si="30"/>
        <v>274</v>
      </c>
      <c r="AX62">
        <f t="shared" si="31"/>
        <v>0.4936936936936937</v>
      </c>
      <c r="AY62">
        <f t="shared" si="32"/>
        <v>0</v>
      </c>
      <c r="AZ62">
        <f t="shared" si="33"/>
        <v>22</v>
      </c>
      <c r="BA62">
        <f t="shared" si="34"/>
        <v>0.370975</v>
      </c>
      <c r="BB62">
        <f t="shared" si="35"/>
        <v>0.61783439490445857</v>
      </c>
    </row>
    <row r="63" spans="1:54" x14ac:dyDescent="0.3">
      <c r="A63">
        <v>17</v>
      </c>
      <c r="B63">
        <v>0</v>
      </c>
      <c r="C63">
        <v>0</v>
      </c>
      <c r="D63">
        <v>2</v>
      </c>
      <c r="E63">
        <v>8</v>
      </c>
      <c r="AM63">
        <v>101</v>
      </c>
      <c r="AN63">
        <f t="shared" si="23"/>
        <v>1</v>
      </c>
      <c r="AO63">
        <f t="shared" si="24"/>
        <v>8.5836909871244631E-4</v>
      </c>
      <c r="AP63">
        <f t="shared" si="25"/>
        <v>3.3</v>
      </c>
      <c r="AQ63">
        <f t="shared" si="26"/>
        <v>78</v>
      </c>
      <c r="AR63">
        <f t="shared" si="27"/>
        <v>1.9131272727272726</v>
      </c>
      <c r="AS63">
        <f t="shared" si="28"/>
        <v>5.1079463296437568</v>
      </c>
      <c r="AT63">
        <f t="shared" si="29"/>
        <v>1.6129032258064516E-2</v>
      </c>
      <c r="AV63">
        <v>61</v>
      </c>
      <c r="AW63">
        <f t="shared" si="30"/>
        <v>274</v>
      </c>
      <c r="AX63">
        <f t="shared" si="31"/>
        <v>0.4936936936936937</v>
      </c>
      <c r="AY63">
        <f t="shared" si="32"/>
        <v>2.7027027027027029E-2</v>
      </c>
      <c r="AZ63">
        <f t="shared" si="33"/>
        <v>23</v>
      </c>
      <c r="BA63">
        <f t="shared" si="34"/>
        <v>0.3878375</v>
      </c>
      <c r="BB63">
        <f t="shared" si="35"/>
        <v>0.61146496815286622</v>
      </c>
    </row>
    <row r="64" spans="1:54" x14ac:dyDescent="0.3">
      <c r="A64">
        <v>17</v>
      </c>
      <c r="B64">
        <v>0</v>
      </c>
      <c r="C64">
        <v>0</v>
      </c>
      <c r="D64">
        <v>2</v>
      </c>
      <c r="E64">
        <v>13</v>
      </c>
      <c r="AN64">
        <f>MAX(AN2:AN63)</f>
        <v>1165</v>
      </c>
      <c r="AQ64">
        <f>MEDIAN(AQ2:AQ63)</f>
        <v>27.5</v>
      </c>
      <c r="AV64">
        <v>62</v>
      </c>
      <c r="AW64">
        <f t="shared" si="30"/>
        <v>241</v>
      </c>
      <c r="AX64">
        <f t="shared" si="31"/>
        <v>0.43423423423423424</v>
      </c>
      <c r="AY64">
        <f t="shared" si="32"/>
        <v>5.4054054054054057E-2</v>
      </c>
      <c r="AZ64">
        <f t="shared" si="33"/>
        <v>24</v>
      </c>
      <c r="BA64">
        <f t="shared" si="34"/>
        <v>0.40469999999999995</v>
      </c>
      <c r="BB64">
        <f t="shared" si="35"/>
        <v>0.60509554140127386</v>
      </c>
    </row>
    <row r="65" spans="1:54" x14ac:dyDescent="0.3">
      <c r="A65">
        <v>18</v>
      </c>
      <c r="B65">
        <v>0</v>
      </c>
      <c r="C65">
        <v>0</v>
      </c>
      <c r="D65">
        <v>2</v>
      </c>
      <c r="E65">
        <v>9</v>
      </c>
      <c r="AV65">
        <v>63</v>
      </c>
      <c r="AW65">
        <f t="shared" si="30"/>
        <v>280</v>
      </c>
      <c r="AX65">
        <f t="shared" si="31"/>
        <v>0.50450450450450446</v>
      </c>
      <c r="AY65">
        <f t="shared" si="32"/>
        <v>8.1081081081081086E-2</v>
      </c>
      <c r="AZ65">
        <f t="shared" si="33"/>
        <v>25</v>
      </c>
      <c r="BA65">
        <f t="shared" si="34"/>
        <v>0.42156250000000001</v>
      </c>
      <c r="BB65">
        <f t="shared" si="35"/>
        <v>0.59872611464968151</v>
      </c>
    </row>
    <row r="66" spans="1:54" x14ac:dyDescent="0.3">
      <c r="A66">
        <v>18</v>
      </c>
      <c r="B66">
        <v>0</v>
      </c>
      <c r="C66">
        <v>0</v>
      </c>
      <c r="D66">
        <v>2</v>
      </c>
      <c r="E66">
        <v>9</v>
      </c>
      <c r="AV66">
        <v>64</v>
      </c>
      <c r="AW66">
        <f t="shared" si="30"/>
        <v>223</v>
      </c>
      <c r="AX66">
        <f t="shared" si="31"/>
        <v>0.40180180180180181</v>
      </c>
      <c r="AY66">
        <f t="shared" si="32"/>
        <v>0.10810810810810811</v>
      </c>
      <c r="AZ66">
        <f t="shared" si="33"/>
        <v>26</v>
      </c>
      <c r="BA66">
        <f t="shared" si="34"/>
        <v>0.43842499999999995</v>
      </c>
      <c r="BB66">
        <f t="shared" si="35"/>
        <v>0.59235668789808915</v>
      </c>
    </row>
    <row r="67" spans="1:54" x14ac:dyDescent="0.3">
      <c r="A67">
        <v>18</v>
      </c>
      <c r="B67">
        <v>0</v>
      </c>
      <c r="C67">
        <v>0</v>
      </c>
      <c r="D67">
        <v>2</v>
      </c>
      <c r="E67">
        <v>12</v>
      </c>
      <c r="AV67">
        <v>65</v>
      </c>
      <c r="AW67">
        <f t="shared" ref="AW67:AW130" si="60">COUNTIFS(E:E,"=" &amp; AV67)</f>
        <v>231</v>
      </c>
      <c r="AX67">
        <f t="shared" ref="AX67:AX130" si="61">AW67/$AW$159</f>
        <v>0.41621621621621624</v>
      </c>
      <c r="AY67">
        <f t="shared" ref="AY67:AY86" si="62">MAX(0,(AV67-$K$11)/$K$7)</f>
        <v>0.13513513513513514</v>
      </c>
      <c r="AZ67">
        <f t="shared" ref="AZ67:AZ130" si="63">ABS(AV67-$K$2)</f>
        <v>27</v>
      </c>
      <c r="BA67">
        <f t="shared" ref="BA67:BA130" si="64">0.6745*(AV67-$K$2)/$AZ$159</f>
        <v>0.45528750000000001</v>
      </c>
      <c r="BB67">
        <f t="shared" ref="BB67:BB130" si="65">COUNTIFS(BA:BA,"&gt;=" &amp; BA67)/157</f>
        <v>0.5859872611464968</v>
      </c>
    </row>
    <row r="68" spans="1:54" x14ac:dyDescent="0.3">
      <c r="A68">
        <v>18</v>
      </c>
      <c r="B68">
        <v>0</v>
      </c>
      <c r="C68">
        <v>0</v>
      </c>
      <c r="D68">
        <v>2</v>
      </c>
      <c r="E68">
        <v>12</v>
      </c>
      <c r="AV68">
        <v>66</v>
      </c>
      <c r="AW68">
        <f t="shared" si="60"/>
        <v>238</v>
      </c>
      <c r="AX68">
        <f t="shared" si="61"/>
        <v>0.42882882882882883</v>
      </c>
      <c r="AY68">
        <f t="shared" si="62"/>
        <v>0.16216216216216217</v>
      </c>
      <c r="AZ68">
        <f t="shared" si="63"/>
        <v>28</v>
      </c>
      <c r="BA68">
        <f t="shared" si="64"/>
        <v>0.47214999999999996</v>
      </c>
      <c r="BB68">
        <f t="shared" si="65"/>
        <v>0.57961783439490444</v>
      </c>
    </row>
    <row r="69" spans="1:54" x14ac:dyDescent="0.3">
      <c r="A69">
        <v>19</v>
      </c>
      <c r="B69">
        <v>0</v>
      </c>
      <c r="C69">
        <v>0</v>
      </c>
      <c r="D69">
        <v>2</v>
      </c>
      <c r="E69">
        <v>11</v>
      </c>
      <c r="AV69">
        <v>67</v>
      </c>
      <c r="AW69">
        <f t="shared" si="60"/>
        <v>275</v>
      </c>
      <c r="AX69">
        <f t="shared" si="61"/>
        <v>0.49549549549549549</v>
      </c>
      <c r="AY69">
        <f t="shared" si="62"/>
        <v>0.1891891891891892</v>
      </c>
      <c r="AZ69">
        <f t="shared" si="63"/>
        <v>29</v>
      </c>
      <c r="BA69">
        <f t="shared" si="64"/>
        <v>0.48901250000000002</v>
      </c>
      <c r="BB69">
        <f t="shared" si="65"/>
        <v>0.57324840764331209</v>
      </c>
    </row>
    <row r="70" spans="1:54" x14ac:dyDescent="0.3">
      <c r="A70">
        <v>20</v>
      </c>
      <c r="B70">
        <v>0</v>
      </c>
      <c r="C70">
        <v>0</v>
      </c>
      <c r="D70">
        <v>2</v>
      </c>
      <c r="E70">
        <v>6</v>
      </c>
      <c r="AV70">
        <v>68</v>
      </c>
      <c r="AW70">
        <f t="shared" si="60"/>
        <v>189</v>
      </c>
      <c r="AX70">
        <f t="shared" si="61"/>
        <v>0.34054054054054056</v>
      </c>
      <c r="AY70">
        <f t="shared" si="62"/>
        <v>0.21621621621621623</v>
      </c>
      <c r="AZ70">
        <f t="shared" si="63"/>
        <v>30</v>
      </c>
      <c r="BA70">
        <f t="shared" si="64"/>
        <v>0.50587499999999996</v>
      </c>
      <c r="BB70">
        <f t="shared" si="65"/>
        <v>0.56687898089171973</v>
      </c>
    </row>
    <row r="71" spans="1:54" x14ac:dyDescent="0.3">
      <c r="A71">
        <v>20</v>
      </c>
      <c r="B71">
        <v>0</v>
      </c>
      <c r="C71">
        <v>0</v>
      </c>
      <c r="D71">
        <v>2</v>
      </c>
      <c r="E71">
        <v>13</v>
      </c>
      <c r="AV71">
        <v>69</v>
      </c>
      <c r="AW71">
        <f t="shared" si="60"/>
        <v>230</v>
      </c>
      <c r="AX71">
        <f t="shared" si="61"/>
        <v>0.4144144144144144</v>
      </c>
      <c r="AY71">
        <f t="shared" si="62"/>
        <v>0.24324324324324326</v>
      </c>
      <c r="AZ71">
        <f t="shared" si="63"/>
        <v>31</v>
      </c>
      <c r="BA71">
        <f t="shared" si="64"/>
        <v>0.52273750000000008</v>
      </c>
      <c r="BB71">
        <f t="shared" si="65"/>
        <v>0.56050955414012738</v>
      </c>
    </row>
    <row r="72" spans="1:54" x14ac:dyDescent="0.3">
      <c r="A72">
        <v>21</v>
      </c>
      <c r="B72">
        <v>0</v>
      </c>
      <c r="C72">
        <v>0</v>
      </c>
      <c r="D72">
        <v>2</v>
      </c>
      <c r="E72">
        <v>10</v>
      </c>
      <c r="AV72">
        <v>70</v>
      </c>
      <c r="AW72">
        <f t="shared" si="60"/>
        <v>188</v>
      </c>
      <c r="AX72">
        <f t="shared" si="61"/>
        <v>0.33873873873873872</v>
      </c>
      <c r="AY72">
        <f t="shared" si="62"/>
        <v>0.27027027027027029</v>
      </c>
      <c r="AZ72">
        <f t="shared" si="63"/>
        <v>32</v>
      </c>
      <c r="BA72">
        <f t="shared" si="64"/>
        <v>0.53959999999999997</v>
      </c>
      <c r="BB72">
        <f t="shared" si="65"/>
        <v>0.55414012738853502</v>
      </c>
    </row>
    <row r="73" spans="1:54" x14ac:dyDescent="0.3">
      <c r="A73">
        <v>21</v>
      </c>
      <c r="B73">
        <v>0</v>
      </c>
      <c r="C73">
        <v>0</v>
      </c>
      <c r="D73">
        <v>2</v>
      </c>
      <c r="E73">
        <v>15</v>
      </c>
      <c r="AV73">
        <v>71</v>
      </c>
      <c r="AW73">
        <f t="shared" si="60"/>
        <v>200</v>
      </c>
      <c r="AX73">
        <f t="shared" si="61"/>
        <v>0.36036036036036034</v>
      </c>
      <c r="AY73">
        <f t="shared" si="62"/>
        <v>0.29729729729729731</v>
      </c>
      <c r="AZ73">
        <f t="shared" si="63"/>
        <v>33</v>
      </c>
      <c r="BA73">
        <f t="shared" si="64"/>
        <v>0.55646249999999997</v>
      </c>
      <c r="BB73">
        <f t="shared" si="65"/>
        <v>0.54777070063694266</v>
      </c>
    </row>
    <row r="74" spans="1:54" x14ac:dyDescent="0.3">
      <c r="A74">
        <v>21</v>
      </c>
      <c r="B74">
        <v>0</v>
      </c>
      <c r="C74">
        <v>0</v>
      </c>
      <c r="D74">
        <v>2</v>
      </c>
      <c r="E74">
        <v>16</v>
      </c>
      <c r="AV74">
        <v>72</v>
      </c>
      <c r="AW74">
        <f t="shared" si="60"/>
        <v>182</v>
      </c>
      <c r="AX74">
        <f t="shared" si="61"/>
        <v>0.32792792792792791</v>
      </c>
      <c r="AY74">
        <f t="shared" si="62"/>
        <v>0.32432432432432434</v>
      </c>
      <c r="AZ74">
        <f t="shared" si="63"/>
        <v>34</v>
      </c>
      <c r="BA74">
        <f t="shared" si="64"/>
        <v>0.57332499999999997</v>
      </c>
      <c r="BB74">
        <f t="shared" si="65"/>
        <v>0.54140127388535031</v>
      </c>
    </row>
    <row r="75" spans="1:54" x14ac:dyDescent="0.3">
      <c r="A75">
        <v>21</v>
      </c>
      <c r="B75">
        <v>0</v>
      </c>
      <c r="C75">
        <v>0</v>
      </c>
      <c r="D75">
        <v>2</v>
      </c>
      <c r="E75">
        <v>20</v>
      </c>
      <c r="AV75">
        <v>73</v>
      </c>
      <c r="AW75">
        <f t="shared" si="60"/>
        <v>156</v>
      </c>
      <c r="AX75">
        <f t="shared" si="61"/>
        <v>0.2810810810810811</v>
      </c>
      <c r="AY75">
        <f t="shared" si="62"/>
        <v>0.35135135135135137</v>
      </c>
      <c r="AZ75">
        <f t="shared" si="63"/>
        <v>35</v>
      </c>
      <c r="BA75">
        <f t="shared" si="64"/>
        <v>0.59018749999999998</v>
      </c>
      <c r="BB75">
        <f t="shared" si="65"/>
        <v>0.53503184713375795</v>
      </c>
    </row>
    <row r="76" spans="1:54" x14ac:dyDescent="0.3">
      <c r="A76">
        <v>22</v>
      </c>
      <c r="B76">
        <v>0</v>
      </c>
      <c r="C76">
        <v>0</v>
      </c>
      <c r="D76">
        <v>2</v>
      </c>
      <c r="E76">
        <v>12</v>
      </c>
      <c r="AV76">
        <v>74</v>
      </c>
      <c r="AW76">
        <f t="shared" si="60"/>
        <v>168</v>
      </c>
      <c r="AX76">
        <f t="shared" si="61"/>
        <v>0.30270270270270272</v>
      </c>
      <c r="AY76">
        <f t="shared" si="62"/>
        <v>0.3783783783783784</v>
      </c>
      <c r="AZ76">
        <f t="shared" si="63"/>
        <v>36</v>
      </c>
      <c r="BA76">
        <f t="shared" si="64"/>
        <v>0.60704999999999998</v>
      </c>
      <c r="BB76">
        <f t="shared" si="65"/>
        <v>0.5286624203821656</v>
      </c>
    </row>
    <row r="77" spans="1:54" x14ac:dyDescent="0.3">
      <c r="A77">
        <v>22</v>
      </c>
      <c r="B77">
        <v>0</v>
      </c>
      <c r="C77">
        <v>0</v>
      </c>
      <c r="D77">
        <v>2</v>
      </c>
      <c r="E77">
        <v>13</v>
      </c>
      <c r="AV77">
        <v>75</v>
      </c>
      <c r="AW77">
        <f t="shared" si="60"/>
        <v>144</v>
      </c>
      <c r="AX77">
        <f t="shared" si="61"/>
        <v>0.25945945945945947</v>
      </c>
      <c r="AY77">
        <f t="shared" si="62"/>
        <v>0.40540540540540543</v>
      </c>
      <c r="AZ77">
        <f t="shared" si="63"/>
        <v>37</v>
      </c>
      <c r="BA77">
        <f t="shared" si="64"/>
        <v>0.62391249999999998</v>
      </c>
      <c r="BB77">
        <f t="shared" si="65"/>
        <v>0.52229299363057324</v>
      </c>
    </row>
    <row r="78" spans="1:54" x14ac:dyDescent="0.3">
      <c r="A78">
        <v>22</v>
      </c>
      <c r="B78">
        <v>0</v>
      </c>
      <c r="C78">
        <v>0</v>
      </c>
      <c r="D78">
        <v>2</v>
      </c>
      <c r="E78">
        <v>22</v>
      </c>
      <c r="AV78">
        <v>76</v>
      </c>
      <c r="AW78">
        <f t="shared" si="60"/>
        <v>154</v>
      </c>
      <c r="AX78">
        <f t="shared" si="61"/>
        <v>0.27747747747747747</v>
      </c>
      <c r="AY78">
        <f t="shared" si="62"/>
        <v>0.43243243243243246</v>
      </c>
      <c r="AZ78">
        <f t="shared" si="63"/>
        <v>38</v>
      </c>
      <c r="BA78">
        <f t="shared" si="64"/>
        <v>0.64077499999999998</v>
      </c>
      <c r="BB78">
        <f t="shared" si="65"/>
        <v>0.51592356687898089</v>
      </c>
    </row>
    <row r="79" spans="1:54" x14ac:dyDescent="0.3">
      <c r="A79">
        <v>23</v>
      </c>
      <c r="B79">
        <v>0</v>
      </c>
      <c r="C79">
        <v>0</v>
      </c>
      <c r="D79">
        <v>2</v>
      </c>
      <c r="E79">
        <v>11</v>
      </c>
      <c r="AV79">
        <v>77</v>
      </c>
      <c r="AW79">
        <f t="shared" si="60"/>
        <v>174</v>
      </c>
      <c r="AX79">
        <f t="shared" si="61"/>
        <v>0.31351351351351353</v>
      </c>
      <c r="AY79">
        <f t="shared" si="62"/>
        <v>0.45945945945945948</v>
      </c>
      <c r="AZ79">
        <f t="shared" si="63"/>
        <v>39</v>
      </c>
      <c r="BA79">
        <f t="shared" si="64"/>
        <v>0.65763749999999999</v>
      </c>
      <c r="BB79">
        <f t="shared" si="65"/>
        <v>0.50955414012738853</v>
      </c>
    </row>
    <row r="80" spans="1:54" x14ac:dyDescent="0.3">
      <c r="A80">
        <v>23</v>
      </c>
      <c r="B80">
        <v>0</v>
      </c>
      <c r="C80">
        <v>0</v>
      </c>
      <c r="D80">
        <v>2</v>
      </c>
      <c r="E80">
        <v>15</v>
      </c>
      <c r="AV80">
        <v>78</v>
      </c>
      <c r="AW80">
        <f t="shared" si="60"/>
        <v>136</v>
      </c>
      <c r="AX80">
        <f t="shared" si="61"/>
        <v>0.24504504504504504</v>
      </c>
      <c r="AY80">
        <f t="shared" si="62"/>
        <v>0.48648648648648651</v>
      </c>
      <c r="AZ80">
        <f t="shared" si="63"/>
        <v>40</v>
      </c>
      <c r="BA80">
        <f t="shared" si="64"/>
        <v>0.67449999999999999</v>
      </c>
      <c r="BB80">
        <f t="shared" si="65"/>
        <v>0.50318471337579618</v>
      </c>
    </row>
    <row r="81" spans="1:54" x14ac:dyDescent="0.3">
      <c r="A81">
        <v>23</v>
      </c>
      <c r="B81">
        <v>0</v>
      </c>
      <c r="C81">
        <v>0</v>
      </c>
      <c r="D81">
        <v>2</v>
      </c>
      <c r="E81">
        <v>19</v>
      </c>
      <c r="AV81">
        <v>79</v>
      </c>
      <c r="AW81">
        <f t="shared" si="60"/>
        <v>149</v>
      </c>
      <c r="AX81">
        <f t="shared" si="61"/>
        <v>0.26846846846846845</v>
      </c>
      <c r="AY81">
        <f t="shared" si="62"/>
        <v>0.51351351351351349</v>
      </c>
      <c r="AZ81">
        <f t="shared" si="63"/>
        <v>41</v>
      </c>
      <c r="BA81">
        <f t="shared" si="64"/>
        <v>0.69136249999999999</v>
      </c>
      <c r="BB81">
        <f t="shared" si="65"/>
        <v>0.49681528662420382</v>
      </c>
    </row>
    <row r="82" spans="1:54" x14ac:dyDescent="0.3">
      <c r="A82">
        <v>24</v>
      </c>
      <c r="B82">
        <v>0</v>
      </c>
      <c r="C82">
        <v>0</v>
      </c>
      <c r="D82">
        <v>2</v>
      </c>
      <c r="E82">
        <v>1</v>
      </c>
      <c r="AV82">
        <v>80</v>
      </c>
      <c r="AW82">
        <f t="shared" si="60"/>
        <v>96</v>
      </c>
      <c r="AX82">
        <f t="shared" si="61"/>
        <v>0.17297297297297298</v>
      </c>
      <c r="AY82">
        <f t="shared" si="62"/>
        <v>0.54054054054054057</v>
      </c>
      <c r="AZ82">
        <f t="shared" si="63"/>
        <v>42</v>
      </c>
      <c r="BA82">
        <f t="shared" si="64"/>
        <v>0.70822499999999999</v>
      </c>
      <c r="BB82">
        <f t="shared" si="65"/>
        <v>0.49044585987261147</v>
      </c>
    </row>
    <row r="83" spans="1:54" x14ac:dyDescent="0.3">
      <c r="A83">
        <v>24</v>
      </c>
      <c r="B83">
        <v>0</v>
      </c>
      <c r="C83">
        <v>0</v>
      </c>
      <c r="D83">
        <v>2</v>
      </c>
      <c r="E83">
        <v>11</v>
      </c>
      <c r="AV83">
        <v>81</v>
      </c>
      <c r="AW83">
        <f t="shared" si="60"/>
        <v>127</v>
      </c>
      <c r="AX83">
        <f t="shared" si="61"/>
        <v>0.22882882882882882</v>
      </c>
      <c r="AY83">
        <f t="shared" si="62"/>
        <v>0.56756756756756754</v>
      </c>
      <c r="AZ83">
        <f t="shared" si="63"/>
        <v>43</v>
      </c>
      <c r="BA83">
        <f t="shared" si="64"/>
        <v>0.7250875</v>
      </c>
      <c r="BB83">
        <f t="shared" si="65"/>
        <v>0.48407643312101911</v>
      </c>
    </row>
    <row r="84" spans="1:54" x14ac:dyDescent="0.3">
      <c r="A84">
        <v>24</v>
      </c>
      <c r="B84">
        <v>0</v>
      </c>
      <c r="C84">
        <v>0</v>
      </c>
      <c r="D84">
        <v>2</v>
      </c>
      <c r="E84">
        <v>16</v>
      </c>
      <c r="AV84">
        <v>82</v>
      </c>
      <c r="AW84">
        <f t="shared" si="60"/>
        <v>115</v>
      </c>
      <c r="AX84">
        <f t="shared" si="61"/>
        <v>0.2072072072072072</v>
      </c>
      <c r="AY84">
        <f t="shared" si="62"/>
        <v>0.59459459459459463</v>
      </c>
      <c r="AZ84">
        <f t="shared" si="63"/>
        <v>44</v>
      </c>
      <c r="BA84">
        <f t="shared" si="64"/>
        <v>0.74195</v>
      </c>
      <c r="BB84">
        <f t="shared" si="65"/>
        <v>0.47770700636942676</v>
      </c>
    </row>
    <row r="85" spans="1:54" x14ac:dyDescent="0.3">
      <c r="A85">
        <v>24</v>
      </c>
      <c r="B85">
        <v>0</v>
      </c>
      <c r="C85">
        <v>0</v>
      </c>
      <c r="D85">
        <v>2</v>
      </c>
      <c r="E85">
        <v>21</v>
      </c>
      <c r="AV85">
        <v>83</v>
      </c>
      <c r="AW85">
        <f t="shared" si="60"/>
        <v>99</v>
      </c>
      <c r="AX85">
        <f t="shared" si="61"/>
        <v>0.17837837837837839</v>
      </c>
      <c r="AY85">
        <f t="shared" si="62"/>
        <v>0.6216216216216216</v>
      </c>
      <c r="AZ85">
        <f t="shared" si="63"/>
        <v>45</v>
      </c>
      <c r="BA85">
        <f t="shared" si="64"/>
        <v>0.7588125</v>
      </c>
      <c r="BB85">
        <f t="shared" si="65"/>
        <v>0.4713375796178344</v>
      </c>
    </row>
    <row r="86" spans="1:54" x14ac:dyDescent="0.3">
      <c r="A86">
        <v>25</v>
      </c>
      <c r="B86">
        <v>0</v>
      </c>
      <c r="C86">
        <v>0</v>
      </c>
      <c r="D86">
        <v>2</v>
      </c>
      <c r="E86">
        <v>8</v>
      </c>
      <c r="AV86">
        <v>84</v>
      </c>
      <c r="AW86">
        <f t="shared" si="60"/>
        <v>106</v>
      </c>
      <c r="AX86">
        <f t="shared" si="61"/>
        <v>0.19099099099099098</v>
      </c>
      <c r="AY86">
        <f t="shared" si="62"/>
        <v>0.64864864864864868</v>
      </c>
      <c r="AZ86">
        <f t="shared" si="63"/>
        <v>46</v>
      </c>
      <c r="BA86">
        <f t="shared" si="64"/>
        <v>0.775675</v>
      </c>
      <c r="BB86">
        <f t="shared" si="65"/>
        <v>0.46496815286624205</v>
      </c>
    </row>
    <row r="87" spans="1:54" x14ac:dyDescent="0.3">
      <c r="A87">
        <v>25</v>
      </c>
      <c r="B87">
        <v>0</v>
      </c>
      <c r="C87">
        <v>0</v>
      </c>
      <c r="D87">
        <v>2</v>
      </c>
      <c r="E87">
        <v>8</v>
      </c>
      <c r="AV87">
        <v>85</v>
      </c>
      <c r="AW87">
        <f t="shared" si="60"/>
        <v>87</v>
      </c>
      <c r="AX87">
        <f t="shared" si="61"/>
        <v>0.15675675675675677</v>
      </c>
      <c r="AY87">
        <f t="shared" ref="AY87:AY130" si="66">(AV87-$K$2)/$K$7</f>
        <v>1.2702702702702702</v>
      </c>
      <c r="AZ87">
        <f t="shared" si="63"/>
        <v>47</v>
      </c>
      <c r="BA87">
        <f t="shared" si="64"/>
        <v>0.79253750000000001</v>
      </c>
      <c r="BB87">
        <f t="shared" si="65"/>
        <v>0.45859872611464969</v>
      </c>
    </row>
    <row r="88" spans="1:54" x14ac:dyDescent="0.3">
      <c r="A88">
        <v>27</v>
      </c>
      <c r="B88">
        <v>0</v>
      </c>
      <c r="C88">
        <v>0</v>
      </c>
      <c r="D88">
        <v>2</v>
      </c>
      <c r="E88">
        <v>9</v>
      </c>
      <c r="AV88">
        <v>86</v>
      </c>
      <c r="AW88">
        <f t="shared" si="60"/>
        <v>70</v>
      </c>
      <c r="AX88">
        <f t="shared" si="61"/>
        <v>0.12612612612612611</v>
      </c>
      <c r="AY88">
        <f t="shared" si="66"/>
        <v>1.2972972972972974</v>
      </c>
      <c r="AZ88">
        <f t="shared" si="63"/>
        <v>48</v>
      </c>
      <c r="BA88">
        <f t="shared" si="64"/>
        <v>0.8093999999999999</v>
      </c>
      <c r="BB88">
        <f t="shared" si="65"/>
        <v>0.45222929936305734</v>
      </c>
    </row>
    <row r="89" spans="1:54" x14ac:dyDescent="0.3">
      <c r="A89">
        <v>28</v>
      </c>
      <c r="B89">
        <v>0</v>
      </c>
      <c r="C89">
        <v>0</v>
      </c>
      <c r="D89">
        <v>2</v>
      </c>
      <c r="E89">
        <v>14</v>
      </c>
      <c r="AV89">
        <v>87</v>
      </c>
      <c r="AW89">
        <f t="shared" si="60"/>
        <v>70</v>
      </c>
      <c r="AX89">
        <f t="shared" si="61"/>
        <v>0.12612612612612611</v>
      </c>
      <c r="AY89">
        <f t="shared" si="66"/>
        <v>1.3243243243243243</v>
      </c>
      <c r="AZ89">
        <f t="shared" si="63"/>
        <v>49</v>
      </c>
      <c r="BA89">
        <f t="shared" si="64"/>
        <v>0.82626250000000001</v>
      </c>
      <c r="BB89">
        <f t="shared" si="65"/>
        <v>0.44585987261146498</v>
      </c>
    </row>
    <row r="90" spans="1:54" x14ac:dyDescent="0.3">
      <c r="A90">
        <v>31</v>
      </c>
      <c r="B90">
        <v>0</v>
      </c>
      <c r="C90">
        <v>0</v>
      </c>
      <c r="D90">
        <v>2</v>
      </c>
      <c r="E90">
        <v>13</v>
      </c>
      <c r="AV90">
        <v>88</v>
      </c>
      <c r="AW90">
        <f t="shared" si="60"/>
        <v>68</v>
      </c>
      <c r="AX90">
        <f t="shared" si="61"/>
        <v>0.12252252252252252</v>
      </c>
      <c r="AY90">
        <f t="shared" si="66"/>
        <v>1.3513513513513513</v>
      </c>
      <c r="AZ90">
        <f t="shared" si="63"/>
        <v>50</v>
      </c>
      <c r="BA90">
        <f t="shared" si="64"/>
        <v>0.84312500000000001</v>
      </c>
      <c r="BB90">
        <f t="shared" si="65"/>
        <v>0.43949044585987262</v>
      </c>
    </row>
    <row r="91" spans="1:54" x14ac:dyDescent="0.3">
      <c r="A91">
        <v>41</v>
      </c>
      <c r="B91">
        <v>0</v>
      </c>
      <c r="C91">
        <v>0</v>
      </c>
      <c r="D91">
        <v>2</v>
      </c>
      <c r="E91">
        <v>12</v>
      </c>
      <c r="AV91">
        <v>89</v>
      </c>
      <c r="AW91">
        <f t="shared" si="60"/>
        <v>79</v>
      </c>
      <c r="AX91">
        <f t="shared" si="61"/>
        <v>0.14234234234234233</v>
      </c>
      <c r="AY91">
        <f t="shared" si="66"/>
        <v>1.3783783783783783</v>
      </c>
      <c r="AZ91">
        <f t="shared" si="63"/>
        <v>51</v>
      </c>
      <c r="BA91">
        <f t="shared" si="64"/>
        <v>0.8599874999999999</v>
      </c>
      <c r="BB91">
        <f t="shared" si="65"/>
        <v>0.43312101910828027</v>
      </c>
    </row>
    <row r="92" spans="1:54" x14ac:dyDescent="0.3">
      <c r="A92">
        <v>44</v>
      </c>
      <c r="B92">
        <v>0</v>
      </c>
      <c r="C92">
        <v>0</v>
      </c>
      <c r="D92">
        <v>2</v>
      </c>
      <c r="E92">
        <v>33</v>
      </c>
      <c r="AV92">
        <v>90</v>
      </c>
      <c r="AW92">
        <f t="shared" si="60"/>
        <v>60</v>
      </c>
      <c r="AX92">
        <f t="shared" si="61"/>
        <v>0.10810810810810811</v>
      </c>
      <c r="AY92">
        <f t="shared" si="66"/>
        <v>1.4054054054054055</v>
      </c>
      <c r="AZ92">
        <f t="shared" si="63"/>
        <v>52</v>
      </c>
      <c r="BA92">
        <f t="shared" si="64"/>
        <v>0.87684999999999991</v>
      </c>
      <c r="BB92">
        <f t="shared" si="65"/>
        <v>0.42675159235668791</v>
      </c>
    </row>
    <row r="93" spans="1:54" x14ac:dyDescent="0.3">
      <c r="A93">
        <v>45</v>
      </c>
      <c r="B93">
        <v>0</v>
      </c>
      <c r="C93">
        <v>0</v>
      </c>
      <c r="D93">
        <v>2</v>
      </c>
      <c r="E93">
        <v>31</v>
      </c>
      <c r="AV93">
        <v>91</v>
      </c>
      <c r="AW93">
        <f t="shared" si="60"/>
        <v>70</v>
      </c>
      <c r="AX93">
        <f t="shared" si="61"/>
        <v>0.12612612612612611</v>
      </c>
      <c r="AY93">
        <f t="shared" si="66"/>
        <v>1.4324324324324325</v>
      </c>
      <c r="AZ93">
        <f t="shared" si="63"/>
        <v>53</v>
      </c>
      <c r="BA93">
        <f t="shared" si="64"/>
        <v>0.89371250000000002</v>
      </c>
      <c r="BB93">
        <f t="shared" si="65"/>
        <v>0.42038216560509556</v>
      </c>
    </row>
    <row r="94" spans="1:54" x14ac:dyDescent="0.3">
      <c r="A94">
        <v>52</v>
      </c>
      <c r="B94">
        <v>0</v>
      </c>
      <c r="C94">
        <v>0</v>
      </c>
      <c r="D94">
        <v>2</v>
      </c>
      <c r="E94">
        <v>52</v>
      </c>
      <c r="AV94">
        <v>92</v>
      </c>
      <c r="AW94">
        <f t="shared" si="60"/>
        <v>48</v>
      </c>
      <c r="AX94">
        <f t="shared" si="61"/>
        <v>8.6486486486486491E-2</v>
      </c>
      <c r="AY94">
        <f t="shared" si="66"/>
        <v>1.4594594594594594</v>
      </c>
      <c r="AZ94">
        <f t="shared" si="63"/>
        <v>54</v>
      </c>
      <c r="BA94">
        <f t="shared" si="64"/>
        <v>0.91057500000000002</v>
      </c>
      <c r="BB94">
        <f t="shared" si="65"/>
        <v>0.4140127388535032</v>
      </c>
    </row>
    <row r="95" spans="1:54" x14ac:dyDescent="0.3">
      <c r="A95">
        <v>13</v>
      </c>
      <c r="B95">
        <v>2</v>
      </c>
      <c r="C95">
        <v>0</v>
      </c>
      <c r="D95">
        <v>2</v>
      </c>
      <c r="E95">
        <v>8</v>
      </c>
      <c r="AV95">
        <v>93</v>
      </c>
      <c r="AW95">
        <f t="shared" si="60"/>
        <v>43</v>
      </c>
      <c r="AX95">
        <f t="shared" si="61"/>
        <v>7.7477477477477477E-2</v>
      </c>
      <c r="AY95">
        <f t="shared" si="66"/>
        <v>1.4864864864864864</v>
      </c>
      <c r="AZ95">
        <f t="shared" si="63"/>
        <v>55</v>
      </c>
      <c r="BA95">
        <f t="shared" si="64"/>
        <v>0.92743749999999991</v>
      </c>
      <c r="BB95">
        <f t="shared" si="65"/>
        <v>0.40764331210191085</v>
      </c>
    </row>
    <row r="96" spans="1:54" x14ac:dyDescent="0.3">
      <c r="A96">
        <v>14</v>
      </c>
      <c r="B96">
        <v>2</v>
      </c>
      <c r="C96">
        <v>0</v>
      </c>
      <c r="D96">
        <v>2</v>
      </c>
      <c r="E96">
        <v>4</v>
      </c>
      <c r="AV96">
        <v>94</v>
      </c>
      <c r="AW96">
        <f t="shared" si="60"/>
        <v>41</v>
      </c>
      <c r="AX96">
        <f t="shared" si="61"/>
        <v>7.3873873873873869E-2</v>
      </c>
      <c r="AY96">
        <f t="shared" si="66"/>
        <v>1.5135135135135136</v>
      </c>
      <c r="AZ96">
        <f t="shared" si="63"/>
        <v>56</v>
      </c>
      <c r="BA96">
        <f t="shared" si="64"/>
        <v>0.94429999999999992</v>
      </c>
      <c r="BB96">
        <f t="shared" si="65"/>
        <v>0.40127388535031849</v>
      </c>
    </row>
    <row r="97" spans="1:54" x14ac:dyDescent="0.3">
      <c r="A97">
        <v>17</v>
      </c>
      <c r="B97">
        <v>2</v>
      </c>
      <c r="C97">
        <v>0</v>
      </c>
      <c r="D97">
        <v>2</v>
      </c>
      <c r="E97">
        <v>17</v>
      </c>
      <c r="AV97">
        <v>95</v>
      </c>
      <c r="AW97">
        <f t="shared" si="60"/>
        <v>61</v>
      </c>
      <c r="AX97">
        <f t="shared" si="61"/>
        <v>0.10990990990990991</v>
      </c>
      <c r="AY97">
        <f t="shared" si="66"/>
        <v>1.5405405405405406</v>
      </c>
      <c r="AZ97">
        <f t="shared" si="63"/>
        <v>57</v>
      </c>
      <c r="BA97">
        <f t="shared" si="64"/>
        <v>0.96116250000000003</v>
      </c>
      <c r="BB97">
        <f t="shared" si="65"/>
        <v>0.39490445859872614</v>
      </c>
    </row>
    <row r="98" spans="1:54" x14ac:dyDescent="0.3">
      <c r="A98">
        <v>18</v>
      </c>
      <c r="B98">
        <v>2</v>
      </c>
      <c r="C98">
        <v>0</v>
      </c>
      <c r="D98">
        <v>2</v>
      </c>
      <c r="E98">
        <v>6</v>
      </c>
      <c r="AV98">
        <v>96</v>
      </c>
      <c r="AW98">
        <f t="shared" si="60"/>
        <v>56</v>
      </c>
      <c r="AX98">
        <f t="shared" si="61"/>
        <v>0.1009009009009009</v>
      </c>
      <c r="AY98">
        <f t="shared" si="66"/>
        <v>1.5675675675675675</v>
      </c>
      <c r="AZ98">
        <f t="shared" si="63"/>
        <v>58</v>
      </c>
      <c r="BA98">
        <f t="shared" si="64"/>
        <v>0.97802500000000003</v>
      </c>
      <c r="BB98">
        <f t="shared" si="65"/>
        <v>0.38853503184713378</v>
      </c>
    </row>
    <row r="99" spans="1:54" x14ac:dyDescent="0.3">
      <c r="A99">
        <v>18</v>
      </c>
      <c r="B99">
        <v>2</v>
      </c>
      <c r="C99">
        <v>0</v>
      </c>
      <c r="D99">
        <v>2</v>
      </c>
      <c r="E99">
        <v>11</v>
      </c>
      <c r="AV99">
        <v>97</v>
      </c>
      <c r="AW99">
        <f t="shared" si="60"/>
        <v>44</v>
      </c>
      <c r="AX99">
        <f t="shared" si="61"/>
        <v>7.9279279279279274E-2</v>
      </c>
      <c r="AY99">
        <f t="shared" si="66"/>
        <v>1.5945945945945945</v>
      </c>
      <c r="AZ99">
        <f t="shared" si="63"/>
        <v>59</v>
      </c>
      <c r="BA99">
        <f t="shared" si="64"/>
        <v>0.99488749999999992</v>
      </c>
      <c r="BB99">
        <f t="shared" si="65"/>
        <v>0.38216560509554143</v>
      </c>
    </row>
    <row r="100" spans="1:54" x14ac:dyDescent="0.3">
      <c r="A100">
        <v>19</v>
      </c>
      <c r="B100">
        <v>2</v>
      </c>
      <c r="C100">
        <v>0</v>
      </c>
      <c r="D100">
        <v>2</v>
      </c>
      <c r="E100">
        <v>11</v>
      </c>
      <c r="AV100">
        <v>98</v>
      </c>
      <c r="AW100">
        <f t="shared" si="60"/>
        <v>43</v>
      </c>
      <c r="AX100">
        <f t="shared" si="61"/>
        <v>7.7477477477477477E-2</v>
      </c>
      <c r="AY100">
        <f t="shared" si="66"/>
        <v>1.6216216216216217</v>
      </c>
      <c r="AZ100">
        <f t="shared" si="63"/>
        <v>60</v>
      </c>
      <c r="BA100">
        <f t="shared" si="64"/>
        <v>1.0117499999999999</v>
      </c>
      <c r="BB100">
        <f t="shared" si="65"/>
        <v>0.37579617834394907</v>
      </c>
    </row>
    <row r="101" spans="1:54" x14ac:dyDescent="0.3">
      <c r="A101">
        <v>19</v>
      </c>
      <c r="B101">
        <v>2</v>
      </c>
      <c r="C101">
        <v>0</v>
      </c>
      <c r="D101">
        <v>2</v>
      </c>
      <c r="E101">
        <v>12</v>
      </c>
      <c r="AV101">
        <v>99</v>
      </c>
      <c r="AW101">
        <f t="shared" si="60"/>
        <v>40</v>
      </c>
      <c r="AX101">
        <f t="shared" si="61"/>
        <v>7.2072072072072071E-2</v>
      </c>
      <c r="AY101">
        <f t="shared" si="66"/>
        <v>1.6486486486486487</v>
      </c>
      <c r="AZ101">
        <f t="shared" si="63"/>
        <v>61</v>
      </c>
      <c r="BA101">
        <f t="shared" si="64"/>
        <v>1.0286124999999999</v>
      </c>
      <c r="BB101">
        <f t="shared" si="65"/>
        <v>0.36942675159235666</v>
      </c>
    </row>
    <row r="102" spans="1:54" x14ac:dyDescent="0.3">
      <c r="A102">
        <v>19</v>
      </c>
      <c r="B102">
        <v>2</v>
      </c>
      <c r="C102">
        <v>0</v>
      </c>
      <c r="D102">
        <v>2</v>
      </c>
      <c r="E102">
        <v>12</v>
      </c>
      <c r="AV102">
        <v>100</v>
      </c>
      <c r="AW102">
        <f t="shared" si="60"/>
        <v>31</v>
      </c>
      <c r="AX102">
        <f t="shared" si="61"/>
        <v>5.5855855855855854E-2</v>
      </c>
      <c r="AY102">
        <f t="shared" si="66"/>
        <v>1.6756756756756757</v>
      </c>
      <c r="AZ102">
        <f t="shared" si="63"/>
        <v>62</v>
      </c>
      <c r="BA102">
        <f t="shared" si="64"/>
        <v>1.0454750000000002</v>
      </c>
      <c r="BB102">
        <f t="shared" si="65"/>
        <v>0.36305732484076431</v>
      </c>
    </row>
    <row r="103" spans="1:54" x14ac:dyDescent="0.3">
      <c r="A103">
        <v>19</v>
      </c>
      <c r="B103">
        <v>2</v>
      </c>
      <c r="C103">
        <v>0</v>
      </c>
      <c r="D103">
        <v>2</v>
      </c>
      <c r="E103">
        <v>19</v>
      </c>
      <c r="AV103">
        <v>101</v>
      </c>
      <c r="AW103">
        <f t="shared" si="60"/>
        <v>28</v>
      </c>
      <c r="AX103">
        <f t="shared" si="61"/>
        <v>5.0450450450450449E-2</v>
      </c>
      <c r="AY103">
        <f t="shared" si="66"/>
        <v>1.7027027027027026</v>
      </c>
      <c r="AZ103">
        <f t="shared" si="63"/>
        <v>63</v>
      </c>
      <c r="BA103">
        <f t="shared" si="64"/>
        <v>1.0623374999999999</v>
      </c>
      <c r="BB103">
        <f t="shared" si="65"/>
        <v>0.35668789808917195</v>
      </c>
    </row>
    <row r="104" spans="1:54" x14ac:dyDescent="0.3">
      <c r="A104">
        <v>20</v>
      </c>
      <c r="B104">
        <v>2</v>
      </c>
      <c r="C104">
        <v>0</v>
      </c>
      <c r="D104">
        <v>2</v>
      </c>
      <c r="E104">
        <v>2</v>
      </c>
      <c r="AV104">
        <v>102</v>
      </c>
      <c r="AW104">
        <f t="shared" si="60"/>
        <v>28</v>
      </c>
      <c r="AX104">
        <f t="shared" si="61"/>
        <v>5.0450450450450449E-2</v>
      </c>
      <c r="AY104">
        <f t="shared" si="66"/>
        <v>1.7297297297297298</v>
      </c>
      <c r="AZ104">
        <f t="shared" si="63"/>
        <v>64</v>
      </c>
      <c r="BA104">
        <f t="shared" si="64"/>
        <v>1.0791999999999999</v>
      </c>
      <c r="BB104">
        <f t="shared" si="65"/>
        <v>0.3503184713375796</v>
      </c>
    </row>
    <row r="105" spans="1:54" x14ac:dyDescent="0.3">
      <c r="A105">
        <v>20</v>
      </c>
      <c r="B105">
        <v>2</v>
      </c>
      <c r="C105">
        <v>0</v>
      </c>
      <c r="D105">
        <v>2</v>
      </c>
      <c r="E105">
        <v>9</v>
      </c>
      <c r="AV105">
        <v>103</v>
      </c>
      <c r="AW105">
        <f t="shared" si="60"/>
        <v>37</v>
      </c>
      <c r="AX105">
        <f t="shared" si="61"/>
        <v>6.6666666666666666E-2</v>
      </c>
      <c r="AY105">
        <f t="shared" si="66"/>
        <v>1.7567567567567568</v>
      </c>
      <c r="AZ105">
        <f t="shared" si="63"/>
        <v>65</v>
      </c>
      <c r="BA105">
        <f t="shared" si="64"/>
        <v>1.0960624999999999</v>
      </c>
      <c r="BB105">
        <f t="shared" si="65"/>
        <v>0.34394904458598724</v>
      </c>
    </row>
    <row r="106" spans="1:54" x14ac:dyDescent="0.3">
      <c r="A106">
        <v>21</v>
      </c>
      <c r="B106">
        <v>2</v>
      </c>
      <c r="C106">
        <v>0</v>
      </c>
      <c r="D106">
        <v>2</v>
      </c>
      <c r="E106">
        <v>12</v>
      </c>
      <c r="AV106">
        <v>104</v>
      </c>
      <c r="AW106">
        <f t="shared" si="60"/>
        <v>26</v>
      </c>
      <c r="AX106">
        <f t="shared" si="61"/>
        <v>4.6846846846846847E-2</v>
      </c>
      <c r="AY106">
        <f t="shared" si="66"/>
        <v>1.7837837837837838</v>
      </c>
      <c r="AZ106">
        <f t="shared" si="63"/>
        <v>66</v>
      </c>
      <c r="BA106">
        <f t="shared" si="64"/>
        <v>1.1129249999999999</v>
      </c>
      <c r="BB106">
        <f t="shared" si="65"/>
        <v>0.33757961783439489</v>
      </c>
    </row>
    <row r="107" spans="1:54" x14ac:dyDescent="0.3">
      <c r="A107">
        <v>21</v>
      </c>
      <c r="B107">
        <v>2</v>
      </c>
      <c r="C107">
        <v>0</v>
      </c>
      <c r="D107">
        <v>2</v>
      </c>
      <c r="E107">
        <v>19</v>
      </c>
      <c r="AV107">
        <v>105</v>
      </c>
      <c r="AW107">
        <f t="shared" si="60"/>
        <v>39</v>
      </c>
      <c r="AX107">
        <f t="shared" si="61"/>
        <v>7.0270270270270274E-2</v>
      </c>
      <c r="AY107">
        <f t="shared" si="66"/>
        <v>1.8108108108108107</v>
      </c>
      <c r="AZ107">
        <f t="shared" si="63"/>
        <v>67</v>
      </c>
      <c r="BA107">
        <f t="shared" si="64"/>
        <v>1.1297874999999999</v>
      </c>
      <c r="BB107">
        <f t="shared" si="65"/>
        <v>0.33121019108280253</v>
      </c>
    </row>
    <row r="108" spans="1:54" x14ac:dyDescent="0.3">
      <c r="A108">
        <v>22</v>
      </c>
      <c r="B108">
        <v>2</v>
      </c>
      <c r="C108">
        <v>0</v>
      </c>
      <c r="D108">
        <v>2</v>
      </c>
      <c r="E108">
        <v>3</v>
      </c>
      <c r="AV108">
        <v>106</v>
      </c>
      <c r="AW108">
        <f t="shared" si="60"/>
        <v>30</v>
      </c>
      <c r="AX108">
        <f t="shared" si="61"/>
        <v>5.4054054054054057E-2</v>
      </c>
      <c r="AY108">
        <f t="shared" si="66"/>
        <v>1.8378378378378379</v>
      </c>
      <c r="AZ108">
        <f t="shared" si="63"/>
        <v>68</v>
      </c>
      <c r="BA108">
        <f t="shared" si="64"/>
        <v>1.1466499999999999</v>
      </c>
      <c r="BB108">
        <f t="shared" si="65"/>
        <v>0.32484076433121017</v>
      </c>
    </row>
    <row r="109" spans="1:54" x14ac:dyDescent="0.3">
      <c r="A109">
        <v>22</v>
      </c>
      <c r="B109">
        <v>2</v>
      </c>
      <c r="C109">
        <v>0</v>
      </c>
      <c r="D109">
        <v>2</v>
      </c>
      <c r="E109">
        <v>11</v>
      </c>
      <c r="AV109">
        <v>107</v>
      </c>
      <c r="AW109">
        <f t="shared" si="60"/>
        <v>24</v>
      </c>
      <c r="AX109">
        <f t="shared" si="61"/>
        <v>4.3243243243243246E-2</v>
      </c>
      <c r="AY109">
        <f t="shared" si="66"/>
        <v>1.8648648648648649</v>
      </c>
      <c r="AZ109">
        <f t="shared" si="63"/>
        <v>69</v>
      </c>
      <c r="BA109">
        <f t="shared" si="64"/>
        <v>1.1635124999999999</v>
      </c>
      <c r="BB109">
        <f t="shared" si="65"/>
        <v>0.31847133757961782</v>
      </c>
    </row>
    <row r="110" spans="1:54" x14ac:dyDescent="0.3">
      <c r="A110">
        <v>22</v>
      </c>
      <c r="B110">
        <v>2</v>
      </c>
      <c r="C110">
        <v>0</v>
      </c>
      <c r="D110">
        <v>2</v>
      </c>
      <c r="E110">
        <v>12</v>
      </c>
      <c r="AV110">
        <v>108</v>
      </c>
      <c r="AW110">
        <f t="shared" si="60"/>
        <v>27</v>
      </c>
      <c r="AX110">
        <f t="shared" si="61"/>
        <v>4.8648648648648651E-2</v>
      </c>
      <c r="AY110">
        <f t="shared" si="66"/>
        <v>1.8918918918918919</v>
      </c>
      <c r="AZ110">
        <f t="shared" si="63"/>
        <v>70</v>
      </c>
      <c r="BA110">
        <f t="shared" si="64"/>
        <v>1.180375</v>
      </c>
      <c r="BB110">
        <f t="shared" si="65"/>
        <v>0.31210191082802546</v>
      </c>
    </row>
    <row r="111" spans="1:54" x14ac:dyDescent="0.3">
      <c r="A111">
        <v>23</v>
      </c>
      <c r="B111">
        <v>2</v>
      </c>
      <c r="C111">
        <v>0</v>
      </c>
      <c r="D111">
        <v>2</v>
      </c>
      <c r="E111">
        <v>9</v>
      </c>
      <c r="AV111">
        <v>109</v>
      </c>
      <c r="AW111">
        <f t="shared" si="60"/>
        <v>28</v>
      </c>
      <c r="AX111">
        <f t="shared" si="61"/>
        <v>5.0450450450450449E-2</v>
      </c>
      <c r="AY111">
        <f t="shared" si="66"/>
        <v>1.9189189189189189</v>
      </c>
      <c r="AZ111">
        <f t="shared" si="63"/>
        <v>71</v>
      </c>
      <c r="BA111">
        <f t="shared" si="64"/>
        <v>1.1972375</v>
      </c>
      <c r="BB111">
        <f t="shared" si="65"/>
        <v>0.30573248407643311</v>
      </c>
    </row>
    <row r="112" spans="1:54" x14ac:dyDescent="0.3">
      <c r="A112">
        <v>23</v>
      </c>
      <c r="B112">
        <v>2</v>
      </c>
      <c r="C112">
        <v>0</v>
      </c>
      <c r="D112">
        <v>2</v>
      </c>
      <c r="E112">
        <v>10</v>
      </c>
      <c r="AV112">
        <v>110</v>
      </c>
      <c r="AW112">
        <f t="shared" si="60"/>
        <v>25</v>
      </c>
      <c r="AX112">
        <f t="shared" si="61"/>
        <v>4.5045045045045043E-2</v>
      </c>
      <c r="AY112">
        <f t="shared" si="66"/>
        <v>1.9459459459459461</v>
      </c>
      <c r="AZ112">
        <f t="shared" si="63"/>
        <v>72</v>
      </c>
      <c r="BA112">
        <f t="shared" si="64"/>
        <v>1.2141</v>
      </c>
      <c r="BB112">
        <f t="shared" si="65"/>
        <v>0.29936305732484075</v>
      </c>
    </row>
    <row r="113" spans="1:54" x14ac:dyDescent="0.3">
      <c r="A113">
        <v>23</v>
      </c>
      <c r="B113">
        <v>2</v>
      </c>
      <c r="C113">
        <v>0</v>
      </c>
      <c r="D113">
        <v>2</v>
      </c>
      <c r="E113">
        <v>21</v>
      </c>
      <c r="AV113">
        <v>111</v>
      </c>
      <c r="AW113">
        <f t="shared" si="60"/>
        <v>19</v>
      </c>
      <c r="AX113">
        <f t="shared" si="61"/>
        <v>3.4234234234234232E-2</v>
      </c>
      <c r="AY113">
        <f t="shared" si="66"/>
        <v>1.972972972972973</v>
      </c>
      <c r="AZ113">
        <f t="shared" si="63"/>
        <v>73</v>
      </c>
      <c r="BA113">
        <f t="shared" si="64"/>
        <v>1.2309625</v>
      </c>
      <c r="BB113">
        <f t="shared" si="65"/>
        <v>0.2929936305732484</v>
      </c>
    </row>
    <row r="114" spans="1:54" x14ac:dyDescent="0.3">
      <c r="A114">
        <v>23</v>
      </c>
      <c r="B114">
        <v>2</v>
      </c>
      <c r="C114">
        <v>0</v>
      </c>
      <c r="D114">
        <v>2</v>
      </c>
      <c r="E114">
        <v>23</v>
      </c>
      <c r="AV114">
        <v>112</v>
      </c>
      <c r="AW114">
        <f t="shared" si="60"/>
        <v>17</v>
      </c>
      <c r="AX114">
        <f t="shared" si="61"/>
        <v>3.063063063063063E-2</v>
      </c>
      <c r="AY114">
        <f t="shared" si="66"/>
        <v>2</v>
      </c>
      <c r="AZ114">
        <f t="shared" si="63"/>
        <v>74</v>
      </c>
      <c r="BA114">
        <f t="shared" si="64"/>
        <v>1.247825</v>
      </c>
      <c r="BB114">
        <f t="shared" si="65"/>
        <v>0.28662420382165604</v>
      </c>
    </row>
    <row r="115" spans="1:54" x14ac:dyDescent="0.3">
      <c r="A115">
        <v>24</v>
      </c>
      <c r="B115">
        <v>2</v>
      </c>
      <c r="C115">
        <v>0</v>
      </c>
      <c r="D115">
        <v>2</v>
      </c>
      <c r="E115">
        <v>24</v>
      </c>
      <c r="AV115">
        <v>113</v>
      </c>
      <c r="AW115">
        <f t="shared" si="60"/>
        <v>29</v>
      </c>
      <c r="AX115">
        <f t="shared" si="61"/>
        <v>5.2252252252252253E-2</v>
      </c>
      <c r="AY115">
        <f t="shared" si="66"/>
        <v>2.0270270270270272</v>
      </c>
      <c r="AZ115">
        <f t="shared" si="63"/>
        <v>75</v>
      </c>
      <c r="BA115">
        <f t="shared" si="64"/>
        <v>1.2646875</v>
      </c>
      <c r="BB115">
        <f t="shared" si="65"/>
        <v>0.28025477707006369</v>
      </c>
    </row>
    <row r="116" spans="1:54" x14ac:dyDescent="0.3">
      <c r="A116">
        <v>25</v>
      </c>
      <c r="B116">
        <v>2</v>
      </c>
      <c r="C116">
        <v>0</v>
      </c>
      <c r="D116">
        <v>2</v>
      </c>
      <c r="E116">
        <v>19</v>
      </c>
      <c r="AV116">
        <v>114</v>
      </c>
      <c r="AW116">
        <f t="shared" si="60"/>
        <v>19</v>
      </c>
      <c r="AX116">
        <f t="shared" si="61"/>
        <v>3.4234234234234232E-2</v>
      </c>
      <c r="AY116">
        <f t="shared" si="66"/>
        <v>2.0540540540540539</v>
      </c>
      <c r="AZ116">
        <f t="shared" si="63"/>
        <v>76</v>
      </c>
      <c r="BA116">
        <f t="shared" si="64"/>
        <v>1.28155</v>
      </c>
      <c r="BB116">
        <f t="shared" si="65"/>
        <v>0.27388535031847133</v>
      </c>
    </row>
    <row r="117" spans="1:54" x14ac:dyDescent="0.3">
      <c r="A117">
        <v>26</v>
      </c>
      <c r="B117">
        <v>2</v>
      </c>
      <c r="C117">
        <v>0</v>
      </c>
      <c r="D117">
        <v>2</v>
      </c>
      <c r="E117">
        <v>21</v>
      </c>
      <c r="AV117">
        <v>115</v>
      </c>
      <c r="AW117">
        <f t="shared" si="60"/>
        <v>13</v>
      </c>
      <c r="AX117">
        <f t="shared" si="61"/>
        <v>2.3423423423423424E-2</v>
      </c>
      <c r="AY117">
        <f t="shared" si="66"/>
        <v>2.0810810810810811</v>
      </c>
      <c r="AZ117">
        <f t="shared" si="63"/>
        <v>77</v>
      </c>
      <c r="BA117">
        <f t="shared" si="64"/>
        <v>1.2984125</v>
      </c>
      <c r="BB117">
        <f t="shared" si="65"/>
        <v>0.26751592356687898</v>
      </c>
    </row>
    <row r="118" spans="1:54" x14ac:dyDescent="0.3">
      <c r="A118">
        <v>27</v>
      </c>
      <c r="B118">
        <v>2</v>
      </c>
      <c r="C118">
        <v>0</v>
      </c>
      <c r="D118">
        <v>2</v>
      </c>
      <c r="E118">
        <v>26</v>
      </c>
      <c r="AV118">
        <v>116</v>
      </c>
      <c r="AW118">
        <f t="shared" si="60"/>
        <v>14</v>
      </c>
      <c r="AX118">
        <f t="shared" si="61"/>
        <v>2.5225225225225224E-2</v>
      </c>
      <c r="AY118">
        <f t="shared" si="66"/>
        <v>2.1081081081081079</v>
      </c>
      <c r="AZ118">
        <f t="shared" si="63"/>
        <v>78</v>
      </c>
      <c r="BA118">
        <f t="shared" si="64"/>
        <v>1.315275</v>
      </c>
      <c r="BB118">
        <f t="shared" si="65"/>
        <v>0.26114649681528662</v>
      </c>
    </row>
    <row r="119" spans="1:54" x14ac:dyDescent="0.3">
      <c r="A119">
        <v>28</v>
      </c>
      <c r="B119">
        <v>2</v>
      </c>
      <c r="C119">
        <v>0</v>
      </c>
      <c r="D119">
        <v>2</v>
      </c>
      <c r="E119">
        <v>19</v>
      </c>
      <c r="AV119">
        <v>117</v>
      </c>
      <c r="AW119">
        <f t="shared" si="60"/>
        <v>21</v>
      </c>
      <c r="AX119">
        <f t="shared" si="61"/>
        <v>3.783783783783784E-2</v>
      </c>
      <c r="AY119">
        <f t="shared" si="66"/>
        <v>2.1351351351351351</v>
      </c>
      <c r="AZ119">
        <f t="shared" si="63"/>
        <v>79</v>
      </c>
      <c r="BA119">
        <f t="shared" si="64"/>
        <v>1.3321375</v>
      </c>
      <c r="BB119">
        <f t="shared" si="65"/>
        <v>0.25477707006369427</v>
      </c>
    </row>
    <row r="120" spans="1:54" x14ac:dyDescent="0.3">
      <c r="A120">
        <v>30</v>
      </c>
      <c r="B120">
        <v>2</v>
      </c>
      <c r="C120">
        <v>0</v>
      </c>
      <c r="D120">
        <v>2</v>
      </c>
      <c r="E120">
        <v>25</v>
      </c>
      <c r="AV120">
        <v>118</v>
      </c>
      <c r="AW120">
        <f t="shared" si="60"/>
        <v>20</v>
      </c>
      <c r="AX120">
        <f t="shared" si="61"/>
        <v>3.6036036036036036E-2</v>
      </c>
      <c r="AY120">
        <f t="shared" si="66"/>
        <v>2.1621621621621623</v>
      </c>
      <c r="AZ120">
        <f t="shared" si="63"/>
        <v>80</v>
      </c>
      <c r="BA120">
        <f t="shared" si="64"/>
        <v>1.349</v>
      </c>
      <c r="BB120">
        <f t="shared" si="65"/>
        <v>0.24840764331210191</v>
      </c>
    </row>
    <row r="121" spans="1:54" x14ac:dyDescent="0.3">
      <c r="A121">
        <v>31</v>
      </c>
      <c r="B121">
        <v>2</v>
      </c>
      <c r="C121">
        <v>0</v>
      </c>
      <c r="D121">
        <v>2</v>
      </c>
      <c r="E121">
        <v>6</v>
      </c>
      <c r="AV121">
        <v>119</v>
      </c>
      <c r="AW121">
        <f t="shared" si="60"/>
        <v>17</v>
      </c>
      <c r="AX121">
        <f t="shared" si="61"/>
        <v>3.063063063063063E-2</v>
      </c>
      <c r="AY121">
        <f t="shared" si="66"/>
        <v>2.189189189189189</v>
      </c>
      <c r="AZ121">
        <f t="shared" si="63"/>
        <v>81</v>
      </c>
      <c r="BA121">
        <f t="shared" si="64"/>
        <v>1.3658625</v>
      </c>
      <c r="BB121">
        <f t="shared" si="65"/>
        <v>0.24203821656050956</v>
      </c>
    </row>
    <row r="122" spans="1:54" x14ac:dyDescent="0.3">
      <c r="A122">
        <v>31</v>
      </c>
      <c r="B122">
        <v>2</v>
      </c>
      <c r="C122">
        <v>0</v>
      </c>
      <c r="D122">
        <v>2</v>
      </c>
      <c r="E122">
        <v>20</v>
      </c>
      <c r="AV122">
        <v>120</v>
      </c>
      <c r="AW122">
        <f t="shared" si="60"/>
        <v>17</v>
      </c>
      <c r="AX122">
        <f t="shared" si="61"/>
        <v>3.063063063063063E-2</v>
      </c>
      <c r="AY122">
        <f t="shared" si="66"/>
        <v>2.2162162162162162</v>
      </c>
      <c r="AZ122">
        <f t="shared" si="63"/>
        <v>82</v>
      </c>
      <c r="BA122">
        <f t="shared" si="64"/>
        <v>1.382725</v>
      </c>
      <c r="BB122">
        <f t="shared" si="65"/>
        <v>0.2356687898089172</v>
      </c>
    </row>
    <row r="123" spans="1:54" x14ac:dyDescent="0.3">
      <c r="A123">
        <v>17</v>
      </c>
      <c r="B123">
        <v>5</v>
      </c>
      <c r="C123">
        <v>0</v>
      </c>
      <c r="D123">
        <v>2</v>
      </c>
      <c r="E123">
        <v>2</v>
      </c>
      <c r="AV123">
        <v>121</v>
      </c>
      <c r="AW123">
        <f t="shared" si="60"/>
        <v>14</v>
      </c>
      <c r="AX123">
        <f t="shared" si="61"/>
        <v>2.5225225225225224E-2</v>
      </c>
      <c r="AY123">
        <f t="shared" si="66"/>
        <v>2.2432432432432434</v>
      </c>
      <c r="AZ123">
        <f t="shared" si="63"/>
        <v>83</v>
      </c>
      <c r="BA123">
        <f t="shared" si="64"/>
        <v>1.3995875</v>
      </c>
      <c r="BB123">
        <f t="shared" si="65"/>
        <v>0.22929936305732485</v>
      </c>
    </row>
    <row r="124" spans="1:54" x14ac:dyDescent="0.3">
      <c r="A124">
        <v>21</v>
      </c>
      <c r="B124">
        <v>5</v>
      </c>
      <c r="C124">
        <v>0</v>
      </c>
      <c r="D124">
        <v>2</v>
      </c>
      <c r="E124">
        <v>20</v>
      </c>
      <c r="AV124">
        <v>122</v>
      </c>
      <c r="AW124">
        <f t="shared" si="60"/>
        <v>6</v>
      </c>
      <c r="AX124">
        <f t="shared" si="61"/>
        <v>1.0810810810810811E-2</v>
      </c>
      <c r="AY124">
        <f t="shared" si="66"/>
        <v>2.2702702702702702</v>
      </c>
      <c r="AZ124">
        <f t="shared" si="63"/>
        <v>84</v>
      </c>
      <c r="BA124">
        <f t="shared" si="64"/>
        <v>1.41645</v>
      </c>
      <c r="BB124">
        <f t="shared" si="65"/>
        <v>0.22292993630573249</v>
      </c>
    </row>
    <row r="125" spans="1:54" x14ac:dyDescent="0.3">
      <c r="A125">
        <v>15</v>
      </c>
      <c r="B125">
        <v>0</v>
      </c>
      <c r="C125">
        <v>1</v>
      </c>
      <c r="D125">
        <v>2</v>
      </c>
      <c r="E125">
        <v>13</v>
      </c>
      <c r="AV125">
        <v>123</v>
      </c>
      <c r="AW125">
        <f t="shared" si="60"/>
        <v>10</v>
      </c>
      <c r="AX125">
        <f t="shared" si="61"/>
        <v>1.8018018018018018E-2</v>
      </c>
      <c r="AY125">
        <f t="shared" si="66"/>
        <v>2.2972972972972974</v>
      </c>
      <c r="AZ125">
        <f t="shared" si="63"/>
        <v>85</v>
      </c>
      <c r="BA125">
        <f t="shared" si="64"/>
        <v>1.4333125</v>
      </c>
      <c r="BB125">
        <f t="shared" si="65"/>
        <v>0.21656050955414013</v>
      </c>
    </row>
    <row r="126" spans="1:54" x14ac:dyDescent="0.3">
      <c r="A126">
        <v>20</v>
      </c>
      <c r="B126">
        <v>0</v>
      </c>
      <c r="C126">
        <v>1</v>
      </c>
      <c r="D126">
        <v>2</v>
      </c>
      <c r="E126">
        <v>11</v>
      </c>
      <c r="AV126">
        <v>124</v>
      </c>
      <c r="AW126">
        <f t="shared" si="60"/>
        <v>8</v>
      </c>
      <c r="AX126">
        <f t="shared" si="61"/>
        <v>1.4414414414414415E-2</v>
      </c>
      <c r="AY126">
        <f t="shared" si="66"/>
        <v>2.3243243243243241</v>
      </c>
      <c r="AZ126">
        <f t="shared" si="63"/>
        <v>86</v>
      </c>
      <c r="BA126">
        <f t="shared" si="64"/>
        <v>1.450175</v>
      </c>
      <c r="BB126">
        <f t="shared" si="65"/>
        <v>0.21019108280254778</v>
      </c>
    </row>
    <row r="127" spans="1:54" x14ac:dyDescent="0.3">
      <c r="A127">
        <v>20</v>
      </c>
      <c r="B127">
        <v>0</v>
      </c>
      <c r="C127">
        <v>1</v>
      </c>
      <c r="D127">
        <v>2</v>
      </c>
      <c r="E127">
        <v>12</v>
      </c>
      <c r="AV127">
        <v>125</v>
      </c>
      <c r="AW127">
        <f t="shared" si="60"/>
        <v>8</v>
      </c>
      <c r="AX127">
        <f t="shared" si="61"/>
        <v>1.4414414414414415E-2</v>
      </c>
      <c r="AY127">
        <f t="shared" si="66"/>
        <v>2.3513513513513513</v>
      </c>
      <c r="AZ127">
        <f t="shared" si="63"/>
        <v>87</v>
      </c>
      <c r="BA127">
        <f t="shared" si="64"/>
        <v>1.4670375</v>
      </c>
      <c r="BB127">
        <f t="shared" si="65"/>
        <v>0.20382165605095542</v>
      </c>
    </row>
    <row r="128" spans="1:54" x14ac:dyDescent="0.3">
      <c r="A128">
        <v>23</v>
      </c>
      <c r="B128">
        <v>0</v>
      </c>
      <c r="C128">
        <v>1</v>
      </c>
      <c r="D128">
        <v>2</v>
      </c>
      <c r="E128">
        <v>10</v>
      </c>
      <c r="AV128">
        <v>126</v>
      </c>
      <c r="AW128">
        <f t="shared" si="60"/>
        <v>10</v>
      </c>
      <c r="AX128">
        <f t="shared" si="61"/>
        <v>1.8018018018018018E-2</v>
      </c>
      <c r="AY128">
        <f t="shared" si="66"/>
        <v>2.3783783783783785</v>
      </c>
      <c r="AZ128">
        <f t="shared" si="63"/>
        <v>88</v>
      </c>
      <c r="BA128">
        <f t="shared" si="64"/>
        <v>1.4839</v>
      </c>
      <c r="BB128">
        <f t="shared" si="65"/>
        <v>0.19745222929936307</v>
      </c>
    </row>
    <row r="129" spans="1:54" x14ac:dyDescent="0.3">
      <c r="A129">
        <v>24</v>
      </c>
      <c r="B129">
        <v>0</v>
      </c>
      <c r="C129">
        <v>1</v>
      </c>
      <c r="D129">
        <v>2</v>
      </c>
      <c r="E129">
        <v>23</v>
      </c>
      <c r="AV129">
        <v>127</v>
      </c>
      <c r="AW129">
        <f t="shared" si="60"/>
        <v>8</v>
      </c>
      <c r="AX129">
        <f t="shared" si="61"/>
        <v>1.4414414414414415E-2</v>
      </c>
      <c r="AY129">
        <f t="shared" si="66"/>
        <v>2.4054054054054053</v>
      </c>
      <c r="AZ129">
        <f t="shared" si="63"/>
        <v>89</v>
      </c>
      <c r="BA129">
        <f t="shared" si="64"/>
        <v>1.5007625</v>
      </c>
      <c r="BB129">
        <f t="shared" si="65"/>
        <v>0.19108280254777071</v>
      </c>
    </row>
    <row r="130" spans="1:54" x14ac:dyDescent="0.3">
      <c r="A130">
        <v>26</v>
      </c>
      <c r="B130">
        <v>0</v>
      </c>
      <c r="C130">
        <v>1</v>
      </c>
      <c r="D130">
        <v>2</v>
      </c>
      <c r="E130">
        <v>10</v>
      </c>
      <c r="AV130">
        <v>128</v>
      </c>
      <c r="AW130">
        <f t="shared" si="60"/>
        <v>10</v>
      </c>
      <c r="AX130">
        <f t="shared" si="61"/>
        <v>1.8018018018018018E-2</v>
      </c>
      <c r="AY130">
        <f t="shared" si="66"/>
        <v>2.4324324324324325</v>
      </c>
      <c r="AZ130">
        <f t="shared" si="63"/>
        <v>90</v>
      </c>
      <c r="BA130">
        <f t="shared" si="64"/>
        <v>1.517625</v>
      </c>
      <c r="BB130">
        <f t="shared" si="65"/>
        <v>0.18471337579617833</v>
      </c>
    </row>
    <row r="131" spans="1:54" x14ac:dyDescent="0.3">
      <c r="A131">
        <v>26</v>
      </c>
      <c r="B131">
        <v>0</v>
      </c>
      <c r="C131">
        <v>1</v>
      </c>
      <c r="D131">
        <v>2</v>
      </c>
      <c r="E131">
        <v>11</v>
      </c>
      <c r="AV131">
        <v>129</v>
      </c>
      <c r="AW131">
        <f t="shared" ref="AW131:AW158" si="67">COUNTIFS(E:E,"=" &amp; AV131)</f>
        <v>8</v>
      </c>
      <c r="AX131">
        <f t="shared" ref="AX131:AX158" si="68">AW131/$AW$159</f>
        <v>1.4414414414414415E-2</v>
      </c>
      <c r="AY131">
        <f t="shared" ref="AY131:AY158" si="69">(AV131-$K$2)/$K$7</f>
        <v>2.4594594594594597</v>
      </c>
      <c r="AZ131">
        <f t="shared" ref="AZ131:AZ158" si="70">ABS(AV131-$K$2)</f>
        <v>91</v>
      </c>
      <c r="BA131">
        <f t="shared" ref="BA131:BA158" si="71">0.6745*(AV131-$K$2)/$AZ$159</f>
        <v>1.5344875</v>
      </c>
      <c r="BB131">
        <f t="shared" ref="BB131:BB158" si="72">COUNTIFS(BA:BA,"&gt;=" &amp; BA131)/157</f>
        <v>0.17834394904458598</v>
      </c>
    </row>
    <row r="132" spans="1:54" x14ac:dyDescent="0.3">
      <c r="A132">
        <v>27</v>
      </c>
      <c r="B132">
        <v>0</v>
      </c>
      <c r="C132">
        <v>1</v>
      </c>
      <c r="D132">
        <v>2</v>
      </c>
      <c r="E132">
        <v>6</v>
      </c>
      <c r="AV132">
        <v>130</v>
      </c>
      <c r="AW132">
        <f t="shared" si="67"/>
        <v>2</v>
      </c>
      <c r="AX132">
        <f t="shared" si="68"/>
        <v>3.6036036036036037E-3</v>
      </c>
      <c r="AY132">
        <f t="shared" si="69"/>
        <v>2.4864864864864864</v>
      </c>
      <c r="AZ132">
        <f t="shared" si="70"/>
        <v>92</v>
      </c>
      <c r="BA132">
        <f t="shared" si="71"/>
        <v>1.55135</v>
      </c>
      <c r="BB132">
        <f t="shared" si="72"/>
        <v>0.17197452229299362</v>
      </c>
    </row>
    <row r="133" spans="1:54" x14ac:dyDescent="0.3">
      <c r="A133">
        <v>27</v>
      </c>
      <c r="B133">
        <v>0</v>
      </c>
      <c r="C133">
        <v>1</v>
      </c>
      <c r="D133">
        <v>2</v>
      </c>
      <c r="E133">
        <v>16</v>
      </c>
      <c r="AV133">
        <v>131</v>
      </c>
      <c r="AW133">
        <f t="shared" si="67"/>
        <v>4</v>
      </c>
      <c r="AX133">
        <f t="shared" si="68"/>
        <v>7.2072072072072073E-3</v>
      </c>
      <c r="AY133">
        <f t="shared" si="69"/>
        <v>2.5135135135135136</v>
      </c>
      <c r="AZ133">
        <f t="shared" si="70"/>
        <v>93</v>
      </c>
      <c r="BA133">
        <f t="shared" si="71"/>
        <v>1.5682125</v>
      </c>
      <c r="BB133">
        <f t="shared" si="72"/>
        <v>0.16560509554140126</v>
      </c>
    </row>
    <row r="134" spans="1:54" x14ac:dyDescent="0.3">
      <c r="A134">
        <v>29</v>
      </c>
      <c r="B134">
        <v>0</v>
      </c>
      <c r="C134">
        <v>1</v>
      </c>
      <c r="D134">
        <v>2</v>
      </c>
      <c r="E134">
        <v>29</v>
      </c>
      <c r="AV134">
        <v>132</v>
      </c>
      <c r="AW134">
        <f t="shared" si="67"/>
        <v>6</v>
      </c>
      <c r="AX134">
        <f t="shared" si="68"/>
        <v>1.0810810810810811E-2</v>
      </c>
      <c r="AY134">
        <f t="shared" si="69"/>
        <v>2.5405405405405403</v>
      </c>
      <c r="AZ134">
        <f t="shared" si="70"/>
        <v>94</v>
      </c>
      <c r="BA134">
        <f t="shared" si="71"/>
        <v>1.585075</v>
      </c>
      <c r="BB134">
        <f t="shared" si="72"/>
        <v>0.15923566878980891</v>
      </c>
    </row>
    <row r="135" spans="1:54" x14ac:dyDescent="0.3">
      <c r="A135">
        <v>31</v>
      </c>
      <c r="B135">
        <v>0</v>
      </c>
      <c r="C135">
        <v>1</v>
      </c>
      <c r="D135">
        <v>2</v>
      </c>
      <c r="E135">
        <v>6</v>
      </c>
      <c r="AV135">
        <v>133</v>
      </c>
      <c r="AW135">
        <f t="shared" si="67"/>
        <v>6</v>
      </c>
      <c r="AX135">
        <f t="shared" si="68"/>
        <v>1.0810810810810811E-2</v>
      </c>
      <c r="AY135">
        <f t="shared" si="69"/>
        <v>2.5675675675675675</v>
      </c>
      <c r="AZ135">
        <f t="shared" si="70"/>
        <v>95</v>
      </c>
      <c r="BA135">
        <f t="shared" si="71"/>
        <v>1.6019375</v>
      </c>
      <c r="BB135">
        <f t="shared" si="72"/>
        <v>0.15286624203821655</v>
      </c>
    </row>
    <row r="136" spans="1:54" x14ac:dyDescent="0.3">
      <c r="A136">
        <v>31</v>
      </c>
      <c r="B136">
        <v>0</v>
      </c>
      <c r="C136">
        <v>1</v>
      </c>
      <c r="D136">
        <v>2</v>
      </c>
      <c r="E136">
        <v>9</v>
      </c>
      <c r="AV136">
        <v>134</v>
      </c>
      <c r="AW136">
        <f t="shared" si="67"/>
        <v>3</v>
      </c>
      <c r="AX136">
        <f t="shared" si="68"/>
        <v>5.4054054054054057E-3</v>
      </c>
      <c r="AY136">
        <f t="shared" si="69"/>
        <v>2.5945945945945947</v>
      </c>
      <c r="AZ136">
        <f t="shared" si="70"/>
        <v>96</v>
      </c>
      <c r="BA136">
        <f t="shared" si="71"/>
        <v>1.6187999999999998</v>
      </c>
      <c r="BB136">
        <f t="shared" si="72"/>
        <v>0.1464968152866242</v>
      </c>
    </row>
    <row r="137" spans="1:54" x14ac:dyDescent="0.3">
      <c r="A137">
        <v>31</v>
      </c>
      <c r="B137">
        <v>0</v>
      </c>
      <c r="C137">
        <v>1</v>
      </c>
      <c r="D137">
        <v>2</v>
      </c>
      <c r="E137">
        <v>11</v>
      </c>
      <c r="AV137">
        <v>135</v>
      </c>
      <c r="AW137">
        <f t="shared" si="67"/>
        <v>4</v>
      </c>
      <c r="AX137">
        <f t="shared" si="68"/>
        <v>7.2072072072072073E-3</v>
      </c>
      <c r="AY137">
        <f t="shared" si="69"/>
        <v>2.6216216216216215</v>
      </c>
      <c r="AZ137">
        <f t="shared" si="70"/>
        <v>97</v>
      </c>
      <c r="BA137">
        <f t="shared" si="71"/>
        <v>1.6356625</v>
      </c>
      <c r="BB137">
        <f t="shared" si="72"/>
        <v>0.14012738853503184</v>
      </c>
    </row>
    <row r="138" spans="1:54" x14ac:dyDescent="0.3">
      <c r="A138">
        <v>31</v>
      </c>
      <c r="B138">
        <v>0</v>
      </c>
      <c r="C138">
        <v>1</v>
      </c>
      <c r="D138">
        <v>2</v>
      </c>
      <c r="E138">
        <v>19</v>
      </c>
      <c r="AV138">
        <v>136</v>
      </c>
      <c r="AW138">
        <f t="shared" si="67"/>
        <v>1</v>
      </c>
      <c r="AX138">
        <f t="shared" si="68"/>
        <v>1.8018018018018018E-3</v>
      </c>
      <c r="AY138">
        <f t="shared" si="69"/>
        <v>2.6486486486486487</v>
      </c>
      <c r="AZ138">
        <f t="shared" si="70"/>
        <v>98</v>
      </c>
      <c r="BA138">
        <f t="shared" si="71"/>
        <v>1.652525</v>
      </c>
      <c r="BB138">
        <f t="shared" si="72"/>
        <v>0.13375796178343949</v>
      </c>
    </row>
    <row r="139" spans="1:54" x14ac:dyDescent="0.3">
      <c r="A139">
        <v>31</v>
      </c>
      <c r="B139">
        <v>0</v>
      </c>
      <c r="C139">
        <v>1</v>
      </c>
      <c r="D139">
        <v>2</v>
      </c>
      <c r="E139">
        <v>20</v>
      </c>
      <c r="AV139">
        <v>137</v>
      </c>
      <c r="AW139">
        <f t="shared" si="67"/>
        <v>2</v>
      </c>
      <c r="AX139">
        <f t="shared" si="68"/>
        <v>3.6036036036036037E-3</v>
      </c>
      <c r="AY139">
        <f t="shared" si="69"/>
        <v>2.6756756756756759</v>
      </c>
      <c r="AZ139">
        <f t="shared" si="70"/>
        <v>99</v>
      </c>
      <c r="BA139">
        <f t="shared" si="71"/>
        <v>1.6693874999999998</v>
      </c>
      <c r="BB139">
        <f t="shared" si="72"/>
        <v>0.12738853503184713</v>
      </c>
    </row>
    <row r="140" spans="1:54" x14ac:dyDescent="0.3">
      <c r="A140">
        <v>32</v>
      </c>
      <c r="B140">
        <v>0</v>
      </c>
      <c r="C140">
        <v>1</v>
      </c>
      <c r="D140">
        <v>2</v>
      </c>
      <c r="E140">
        <v>17</v>
      </c>
      <c r="AV140">
        <v>138</v>
      </c>
      <c r="AW140">
        <f t="shared" si="67"/>
        <v>3</v>
      </c>
      <c r="AX140">
        <f t="shared" si="68"/>
        <v>5.4054054054054057E-3</v>
      </c>
      <c r="AY140">
        <f t="shared" si="69"/>
        <v>2.7027027027027026</v>
      </c>
      <c r="AZ140">
        <f t="shared" si="70"/>
        <v>100</v>
      </c>
      <c r="BA140">
        <f t="shared" si="71"/>
        <v>1.68625</v>
      </c>
      <c r="BB140">
        <f t="shared" si="72"/>
        <v>0.12101910828025478</v>
      </c>
    </row>
    <row r="141" spans="1:54" x14ac:dyDescent="0.3">
      <c r="A141">
        <v>32</v>
      </c>
      <c r="B141">
        <v>0</v>
      </c>
      <c r="C141">
        <v>1</v>
      </c>
      <c r="D141">
        <v>2</v>
      </c>
      <c r="E141">
        <v>27</v>
      </c>
      <c r="AV141">
        <v>139</v>
      </c>
      <c r="AW141">
        <f t="shared" si="67"/>
        <v>5</v>
      </c>
      <c r="AX141">
        <f t="shared" si="68"/>
        <v>9.0090090090090089E-3</v>
      </c>
      <c r="AY141">
        <f t="shared" si="69"/>
        <v>2.7297297297297298</v>
      </c>
      <c r="AZ141">
        <f t="shared" si="70"/>
        <v>101</v>
      </c>
      <c r="BA141">
        <f t="shared" si="71"/>
        <v>1.7031125</v>
      </c>
      <c r="BB141">
        <f t="shared" si="72"/>
        <v>0.11464968152866242</v>
      </c>
    </row>
    <row r="142" spans="1:54" x14ac:dyDescent="0.3">
      <c r="A142">
        <v>32</v>
      </c>
      <c r="B142">
        <v>0</v>
      </c>
      <c r="C142">
        <v>1</v>
      </c>
      <c r="D142">
        <v>2</v>
      </c>
      <c r="E142">
        <v>29</v>
      </c>
      <c r="AV142">
        <v>140</v>
      </c>
      <c r="AW142">
        <f t="shared" si="67"/>
        <v>4</v>
      </c>
      <c r="AX142">
        <f t="shared" si="68"/>
        <v>7.2072072072072073E-3</v>
      </c>
      <c r="AY142">
        <f t="shared" si="69"/>
        <v>2.7567567567567566</v>
      </c>
      <c r="AZ142">
        <f t="shared" si="70"/>
        <v>102</v>
      </c>
      <c r="BA142">
        <f t="shared" si="71"/>
        <v>1.7199749999999998</v>
      </c>
      <c r="BB142">
        <f t="shared" si="72"/>
        <v>0.10828025477707007</v>
      </c>
    </row>
    <row r="143" spans="1:54" x14ac:dyDescent="0.3">
      <c r="A143">
        <v>33</v>
      </c>
      <c r="B143">
        <v>0</v>
      </c>
      <c r="C143">
        <v>1</v>
      </c>
      <c r="D143">
        <v>2</v>
      </c>
      <c r="E143">
        <v>18</v>
      </c>
      <c r="AV143">
        <v>141</v>
      </c>
      <c r="AW143">
        <f t="shared" si="67"/>
        <v>2</v>
      </c>
      <c r="AX143">
        <f t="shared" si="68"/>
        <v>3.6036036036036037E-3</v>
      </c>
      <c r="AY143">
        <f t="shared" si="69"/>
        <v>2.7837837837837838</v>
      </c>
      <c r="AZ143">
        <f t="shared" si="70"/>
        <v>103</v>
      </c>
      <c r="BA143">
        <f t="shared" si="71"/>
        <v>1.7368375</v>
      </c>
      <c r="BB143">
        <f t="shared" si="72"/>
        <v>0.10191082802547771</v>
      </c>
    </row>
    <row r="144" spans="1:54" x14ac:dyDescent="0.3">
      <c r="A144">
        <v>34</v>
      </c>
      <c r="B144">
        <v>0</v>
      </c>
      <c r="C144">
        <v>1</v>
      </c>
      <c r="D144">
        <v>2</v>
      </c>
      <c r="E144">
        <v>10</v>
      </c>
      <c r="AV144">
        <v>143</v>
      </c>
      <c r="AW144">
        <f t="shared" si="67"/>
        <v>1</v>
      </c>
      <c r="AX144">
        <f t="shared" si="68"/>
        <v>1.8018018018018018E-3</v>
      </c>
      <c r="AY144">
        <f t="shared" si="69"/>
        <v>2.8378378378378377</v>
      </c>
      <c r="AZ144">
        <f t="shared" si="70"/>
        <v>105</v>
      </c>
      <c r="BA144">
        <f t="shared" si="71"/>
        <v>1.7705625</v>
      </c>
      <c r="BB144">
        <f t="shared" si="72"/>
        <v>9.5541401273885357E-2</v>
      </c>
    </row>
    <row r="145" spans="1:54" x14ac:dyDescent="0.3">
      <c r="A145">
        <v>34</v>
      </c>
      <c r="B145">
        <v>0</v>
      </c>
      <c r="C145">
        <v>1</v>
      </c>
      <c r="D145">
        <v>2</v>
      </c>
      <c r="E145">
        <v>20</v>
      </c>
      <c r="AV145">
        <v>144</v>
      </c>
      <c r="AW145">
        <f t="shared" si="67"/>
        <v>2</v>
      </c>
      <c r="AX145">
        <f t="shared" si="68"/>
        <v>3.6036036036036037E-3</v>
      </c>
      <c r="AY145">
        <f t="shared" si="69"/>
        <v>2.8648648648648649</v>
      </c>
      <c r="AZ145">
        <f t="shared" si="70"/>
        <v>106</v>
      </c>
      <c r="BA145">
        <f t="shared" si="71"/>
        <v>1.787425</v>
      </c>
      <c r="BB145">
        <f t="shared" si="72"/>
        <v>8.9171974522292988E-2</v>
      </c>
    </row>
    <row r="146" spans="1:54" x14ac:dyDescent="0.3">
      <c r="A146">
        <v>34</v>
      </c>
      <c r="B146">
        <v>0</v>
      </c>
      <c r="C146">
        <v>1</v>
      </c>
      <c r="D146">
        <v>2</v>
      </c>
      <c r="E146">
        <v>24</v>
      </c>
      <c r="AV146">
        <v>145</v>
      </c>
      <c r="AW146">
        <f t="shared" si="67"/>
        <v>3</v>
      </c>
      <c r="AX146">
        <f t="shared" si="68"/>
        <v>5.4054054054054057E-3</v>
      </c>
      <c r="AY146">
        <f t="shared" si="69"/>
        <v>2.8918918918918921</v>
      </c>
      <c r="AZ146">
        <f t="shared" si="70"/>
        <v>107</v>
      </c>
      <c r="BA146">
        <f t="shared" si="71"/>
        <v>1.8042874999999998</v>
      </c>
      <c r="BB146">
        <f t="shared" si="72"/>
        <v>8.2802547770700632E-2</v>
      </c>
    </row>
    <row r="147" spans="1:54" x14ac:dyDescent="0.3">
      <c r="A147">
        <v>35</v>
      </c>
      <c r="B147">
        <v>0</v>
      </c>
      <c r="C147">
        <v>1</v>
      </c>
      <c r="D147">
        <v>2</v>
      </c>
      <c r="E147">
        <v>17</v>
      </c>
      <c r="AV147">
        <v>146</v>
      </c>
      <c r="AW147">
        <f t="shared" si="67"/>
        <v>3</v>
      </c>
      <c r="AX147">
        <f t="shared" si="68"/>
        <v>5.4054054054054057E-3</v>
      </c>
      <c r="AY147">
        <f t="shared" si="69"/>
        <v>2.9189189189189189</v>
      </c>
      <c r="AZ147">
        <f t="shared" si="70"/>
        <v>108</v>
      </c>
      <c r="BA147">
        <f t="shared" si="71"/>
        <v>1.82115</v>
      </c>
      <c r="BB147">
        <f t="shared" si="72"/>
        <v>7.6433121019108277E-2</v>
      </c>
    </row>
    <row r="148" spans="1:54" x14ac:dyDescent="0.3">
      <c r="A148">
        <v>35</v>
      </c>
      <c r="B148">
        <v>0</v>
      </c>
      <c r="C148">
        <v>1</v>
      </c>
      <c r="D148">
        <v>2</v>
      </c>
      <c r="E148">
        <v>27</v>
      </c>
      <c r="AV148">
        <v>147</v>
      </c>
      <c r="AW148">
        <f t="shared" si="67"/>
        <v>1</v>
      </c>
      <c r="AX148">
        <f t="shared" si="68"/>
        <v>1.8018018018018018E-3</v>
      </c>
      <c r="AY148">
        <f t="shared" si="69"/>
        <v>2.9459459459459461</v>
      </c>
      <c r="AZ148">
        <f t="shared" si="70"/>
        <v>109</v>
      </c>
      <c r="BA148">
        <f t="shared" si="71"/>
        <v>1.8380125</v>
      </c>
      <c r="BB148">
        <f t="shared" si="72"/>
        <v>7.0063694267515922E-2</v>
      </c>
    </row>
    <row r="149" spans="1:54" x14ac:dyDescent="0.3">
      <c r="A149">
        <v>35</v>
      </c>
      <c r="B149">
        <v>0</v>
      </c>
      <c r="C149">
        <v>1</v>
      </c>
      <c r="D149">
        <v>2</v>
      </c>
      <c r="E149">
        <v>27</v>
      </c>
      <c r="AV149">
        <v>148</v>
      </c>
      <c r="AW149">
        <f t="shared" si="67"/>
        <v>1</v>
      </c>
      <c r="AX149">
        <f t="shared" si="68"/>
        <v>1.8018018018018018E-3</v>
      </c>
      <c r="AY149">
        <f t="shared" si="69"/>
        <v>2.9729729729729728</v>
      </c>
      <c r="AZ149">
        <f t="shared" si="70"/>
        <v>110</v>
      </c>
      <c r="BA149">
        <f t="shared" si="71"/>
        <v>1.8548749999999998</v>
      </c>
      <c r="BB149">
        <f t="shared" si="72"/>
        <v>6.3694267515923567E-2</v>
      </c>
    </row>
    <row r="150" spans="1:54" x14ac:dyDescent="0.3">
      <c r="A150">
        <v>36</v>
      </c>
      <c r="B150">
        <v>0</v>
      </c>
      <c r="C150">
        <v>1</v>
      </c>
      <c r="D150">
        <v>2</v>
      </c>
      <c r="E150">
        <v>5</v>
      </c>
      <c r="AV150">
        <v>149</v>
      </c>
      <c r="AW150">
        <f t="shared" si="67"/>
        <v>4</v>
      </c>
      <c r="AX150">
        <f t="shared" si="68"/>
        <v>7.2072072072072073E-3</v>
      </c>
      <c r="AY150">
        <f t="shared" si="69"/>
        <v>3</v>
      </c>
      <c r="AZ150">
        <f t="shared" si="70"/>
        <v>111</v>
      </c>
      <c r="BA150">
        <f t="shared" si="71"/>
        <v>1.8717375000000001</v>
      </c>
      <c r="BB150">
        <f t="shared" si="72"/>
        <v>5.7324840764331211E-2</v>
      </c>
    </row>
    <row r="151" spans="1:54" x14ac:dyDescent="0.3">
      <c r="A151">
        <v>36</v>
      </c>
      <c r="B151">
        <v>0</v>
      </c>
      <c r="C151">
        <v>1</v>
      </c>
      <c r="D151">
        <v>2</v>
      </c>
      <c r="E151">
        <v>15</v>
      </c>
      <c r="AV151">
        <v>150</v>
      </c>
      <c r="AW151">
        <f t="shared" si="67"/>
        <v>1</v>
      </c>
      <c r="AX151">
        <f t="shared" si="68"/>
        <v>1.8018018018018018E-3</v>
      </c>
      <c r="AY151">
        <f t="shared" si="69"/>
        <v>3.0270270270270272</v>
      </c>
      <c r="AZ151">
        <f t="shared" si="70"/>
        <v>112</v>
      </c>
      <c r="BA151">
        <f t="shared" si="71"/>
        <v>1.8885999999999998</v>
      </c>
      <c r="BB151">
        <f t="shared" si="72"/>
        <v>5.0955414012738856E-2</v>
      </c>
    </row>
    <row r="152" spans="1:54" x14ac:dyDescent="0.3">
      <c r="A152">
        <v>37</v>
      </c>
      <c r="B152">
        <v>0</v>
      </c>
      <c r="C152">
        <v>1</v>
      </c>
      <c r="D152">
        <v>2</v>
      </c>
      <c r="E152">
        <v>1</v>
      </c>
      <c r="AV152">
        <v>151</v>
      </c>
      <c r="AW152">
        <f t="shared" si="67"/>
        <v>2</v>
      </c>
      <c r="AX152">
        <f t="shared" si="68"/>
        <v>3.6036036036036037E-3</v>
      </c>
      <c r="AY152">
        <f t="shared" si="69"/>
        <v>3.0540540540540539</v>
      </c>
      <c r="AZ152">
        <f t="shared" si="70"/>
        <v>113</v>
      </c>
      <c r="BA152">
        <f t="shared" si="71"/>
        <v>1.9054624999999998</v>
      </c>
      <c r="BB152">
        <f t="shared" si="72"/>
        <v>4.4585987261146494E-2</v>
      </c>
    </row>
    <row r="153" spans="1:54" x14ac:dyDescent="0.3">
      <c r="A153">
        <v>37</v>
      </c>
      <c r="B153">
        <v>0</v>
      </c>
      <c r="C153">
        <v>1</v>
      </c>
      <c r="D153">
        <v>2</v>
      </c>
      <c r="E153">
        <v>5</v>
      </c>
      <c r="AV153">
        <v>152</v>
      </c>
      <c r="AW153">
        <f t="shared" si="67"/>
        <v>2</v>
      </c>
      <c r="AX153">
        <f t="shared" si="68"/>
        <v>3.6036036036036037E-3</v>
      </c>
      <c r="AY153">
        <f t="shared" si="69"/>
        <v>3.0810810810810811</v>
      </c>
      <c r="AZ153">
        <f t="shared" si="70"/>
        <v>114</v>
      </c>
      <c r="BA153">
        <f t="shared" si="71"/>
        <v>1.9223250000000001</v>
      </c>
      <c r="BB153">
        <f t="shared" si="72"/>
        <v>3.8216560509554139E-2</v>
      </c>
    </row>
    <row r="154" spans="1:54" x14ac:dyDescent="0.3">
      <c r="A154">
        <v>37</v>
      </c>
      <c r="B154">
        <v>0</v>
      </c>
      <c r="C154">
        <v>1</v>
      </c>
      <c r="D154">
        <v>2</v>
      </c>
      <c r="E154">
        <v>17</v>
      </c>
      <c r="AV154">
        <v>154</v>
      </c>
      <c r="AW154">
        <f t="shared" si="67"/>
        <v>2</v>
      </c>
      <c r="AX154">
        <f t="shared" si="68"/>
        <v>3.6036036036036037E-3</v>
      </c>
      <c r="AY154">
        <f t="shared" si="69"/>
        <v>3.1351351351351351</v>
      </c>
      <c r="AZ154">
        <f t="shared" si="70"/>
        <v>116</v>
      </c>
      <c r="BA154">
        <f t="shared" si="71"/>
        <v>1.9560500000000001</v>
      </c>
      <c r="BB154">
        <f t="shared" si="72"/>
        <v>3.1847133757961783E-2</v>
      </c>
    </row>
    <row r="155" spans="1:54" x14ac:dyDescent="0.3">
      <c r="A155">
        <v>37</v>
      </c>
      <c r="B155">
        <v>0</v>
      </c>
      <c r="C155">
        <v>1</v>
      </c>
      <c r="D155">
        <v>2</v>
      </c>
      <c r="E155">
        <v>18</v>
      </c>
      <c r="AV155">
        <v>155</v>
      </c>
      <c r="AW155">
        <f t="shared" si="67"/>
        <v>2</v>
      </c>
      <c r="AX155">
        <f t="shared" si="68"/>
        <v>3.6036036036036037E-3</v>
      </c>
      <c r="AY155">
        <f t="shared" si="69"/>
        <v>3.1621621621621623</v>
      </c>
      <c r="AZ155">
        <f t="shared" si="70"/>
        <v>117</v>
      </c>
      <c r="BA155">
        <f t="shared" si="71"/>
        <v>1.9729125000000001</v>
      </c>
      <c r="BB155">
        <f t="shared" si="72"/>
        <v>2.5477707006369428E-2</v>
      </c>
    </row>
    <row r="156" spans="1:54" x14ac:dyDescent="0.3">
      <c r="A156">
        <v>37</v>
      </c>
      <c r="B156">
        <v>0</v>
      </c>
      <c r="C156">
        <v>1</v>
      </c>
      <c r="D156">
        <v>2</v>
      </c>
      <c r="E156">
        <v>21</v>
      </c>
      <c r="AV156">
        <v>156</v>
      </c>
      <c r="AW156">
        <f t="shared" si="67"/>
        <v>2</v>
      </c>
      <c r="AX156">
        <f t="shared" si="68"/>
        <v>3.6036036036036037E-3</v>
      </c>
      <c r="AY156">
        <f t="shared" si="69"/>
        <v>3.189189189189189</v>
      </c>
      <c r="AZ156">
        <f t="shared" si="70"/>
        <v>118</v>
      </c>
      <c r="BA156">
        <f t="shared" si="71"/>
        <v>1.9897749999999998</v>
      </c>
      <c r="BB156">
        <f t="shared" si="72"/>
        <v>1.9108280254777069E-2</v>
      </c>
    </row>
    <row r="157" spans="1:54" x14ac:dyDescent="0.3">
      <c r="A157">
        <v>37</v>
      </c>
      <c r="B157">
        <v>0</v>
      </c>
      <c r="C157">
        <v>1</v>
      </c>
      <c r="D157">
        <v>2</v>
      </c>
      <c r="E157">
        <v>37</v>
      </c>
      <c r="AV157">
        <v>165</v>
      </c>
      <c r="AW157">
        <f t="shared" si="67"/>
        <v>1</v>
      </c>
      <c r="AX157">
        <f t="shared" si="68"/>
        <v>1.8018018018018018E-3</v>
      </c>
      <c r="AY157">
        <f t="shared" si="69"/>
        <v>3.4324324324324325</v>
      </c>
      <c r="AZ157">
        <f t="shared" si="70"/>
        <v>127</v>
      </c>
      <c r="BA157">
        <f t="shared" si="71"/>
        <v>2.1415375000000001</v>
      </c>
      <c r="BB157">
        <f t="shared" si="72"/>
        <v>1.2738853503184714E-2</v>
      </c>
    </row>
    <row r="158" spans="1:54" x14ac:dyDescent="0.3">
      <c r="A158">
        <v>38</v>
      </c>
      <c r="B158">
        <v>0</v>
      </c>
      <c r="C158">
        <v>1</v>
      </c>
      <c r="D158">
        <v>2</v>
      </c>
      <c r="E158">
        <v>28</v>
      </c>
      <c r="AV158">
        <v>169</v>
      </c>
      <c r="AW158">
        <f t="shared" si="67"/>
        <v>1</v>
      </c>
      <c r="AX158">
        <f t="shared" si="68"/>
        <v>1.8018018018018018E-3</v>
      </c>
      <c r="AY158">
        <f t="shared" si="69"/>
        <v>3.5405405405405403</v>
      </c>
      <c r="AZ158">
        <f t="shared" si="70"/>
        <v>131</v>
      </c>
      <c r="BA158">
        <f t="shared" si="71"/>
        <v>2.2089875000000001</v>
      </c>
      <c r="BB158">
        <f t="shared" si="72"/>
        <v>6.369426751592357E-3</v>
      </c>
    </row>
    <row r="159" spans="1:54" x14ac:dyDescent="0.3">
      <c r="A159">
        <v>38</v>
      </c>
      <c r="B159">
        <v>0</v>
      </c>
      <c r="C159">
        <v>1</v>
      </c>
      <c r="D159">
        <v>2</v>
      </c>
      <c r="E159">
        <v>34</v>
      </c>
      <c r="AW159">
        <f>MAX(AW2:AW158)</f>
        <v>555</v>
      </c>
      <c r="AZ159">
        <f>MEDIAN(AZ2:AZ158)</f>
        <v>40</v>
      </c>
    </row>
    <row r="160" spans="1:54" x14ac:dyDescent="0.3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3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3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3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3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3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3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3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3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3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3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3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3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3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3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3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3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3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3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3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3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3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3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3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3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3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3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3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3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3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3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3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3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3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3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3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3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3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3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3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3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3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3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3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3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3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3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3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3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3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3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3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3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3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3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3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3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3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3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3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3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3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3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3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3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3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3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3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3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3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3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3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3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3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3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3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3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3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3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3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3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3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3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3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3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3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3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3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3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3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3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3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3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3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3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3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3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3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3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3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3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3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3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3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3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3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3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3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3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3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3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3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3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3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3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3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3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3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3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3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3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3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3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3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3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3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3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3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3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3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3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3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3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3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3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3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3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3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3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3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3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3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3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3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3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3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3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3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3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3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3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3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3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3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3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3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3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3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3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3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3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3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3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3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3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3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3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3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3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3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3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3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3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3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3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3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3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3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3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3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3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3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3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3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3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3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3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3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3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3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3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3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3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3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3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3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3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3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3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3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3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3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3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3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3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3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3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3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3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3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3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3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3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3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3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3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3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3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3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3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3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3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3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3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3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3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3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3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3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3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3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3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3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3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3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3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3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3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3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3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3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3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3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3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3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3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3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3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3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3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3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3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3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3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3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3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3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3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3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3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3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3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3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3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3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3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3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3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3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3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3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3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3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3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3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3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3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3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3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3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3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3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3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3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3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3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3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3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3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3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3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3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3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3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3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3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3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3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3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3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3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3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3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3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3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3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3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3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3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3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3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3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3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3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3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3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3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3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3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3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3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3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3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3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3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3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3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3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3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3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3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3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3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3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3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3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3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3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3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3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3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3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3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3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3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3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3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3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3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3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3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3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3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3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3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3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3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3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3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3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3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3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3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3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3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3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3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3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3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3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3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3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3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3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3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3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3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3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3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3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3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3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3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3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3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3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3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3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3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3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3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3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3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3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3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3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3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3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3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3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3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3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3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3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3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3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3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3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3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3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3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3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3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3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3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3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3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3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3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3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3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3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3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3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3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3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3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3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3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3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3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3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3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3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3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3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3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3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3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3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3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3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3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3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3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3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3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3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3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3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3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3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3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3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3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3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3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3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3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3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3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3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3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3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3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3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3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3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3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3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3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3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3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3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3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3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3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3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3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3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3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3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3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3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3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3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3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3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3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3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3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3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3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3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3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3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3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3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3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3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3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3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3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3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3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3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3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3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3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3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3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3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3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3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3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3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3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3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3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3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3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3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3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3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3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3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3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3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3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3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3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3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3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3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3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3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3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3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3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3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3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3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3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3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3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3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3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3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3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3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3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3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3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3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3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3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3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3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3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3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3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3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3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3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3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3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3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3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3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3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3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3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3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3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3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3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3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3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3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3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3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3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3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3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3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3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3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3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3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3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3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3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3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3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3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3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3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3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3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3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3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3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3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3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3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3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3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3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3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3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3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3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3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3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3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3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3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3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3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3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3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3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3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3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3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3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3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3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3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3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3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3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3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3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3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3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3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3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3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3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3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3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3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3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3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3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3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3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3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3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3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3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3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3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3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3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3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3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3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3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3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3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3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3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3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3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3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3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3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3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3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3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3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3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3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3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3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3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3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3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3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3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3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3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3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3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3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3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3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3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3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3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3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3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3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3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3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3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3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3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3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3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3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3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3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3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3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3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3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3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3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3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3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3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3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3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3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3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3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3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3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3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3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3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3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3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3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3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3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3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3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3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3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3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3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3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3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3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3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3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3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3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3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3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3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3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3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3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3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3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3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3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3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3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3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3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3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3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3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3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3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3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3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3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3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3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3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3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3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3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3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3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3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3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3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3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3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3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3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3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3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3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3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3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3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3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3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3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3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3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3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3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3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3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3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3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3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3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3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3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3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3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3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3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3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3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3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3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3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3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3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3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3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3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3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3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3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3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3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3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3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3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3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3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3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3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3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3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3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3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3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3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3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3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3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3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3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3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3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3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3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3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3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3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3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3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3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3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3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3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3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3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3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3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3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3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3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3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3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3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3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3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3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3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3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3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3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3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3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3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3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3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3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3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3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3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3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3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3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3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3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3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3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3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3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3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3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3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3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3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3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3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3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3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3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3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3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3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3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3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3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3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3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3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3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3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3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3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3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3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3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3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3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3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3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3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3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3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3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3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3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3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3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3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3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3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3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3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3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3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3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3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3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3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3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3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3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3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3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3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3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3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3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3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3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3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3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3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3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3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3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3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3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3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3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3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3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3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3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3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3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3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3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3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3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3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3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3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3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3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3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3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3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3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3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3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3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3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3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3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3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3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3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3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3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3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3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3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3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3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3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3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3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3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3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3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3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3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3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3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3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3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3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3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3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3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3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3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3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3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3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3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3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3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3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3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3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3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3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3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3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3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3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3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3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3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3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3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3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3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3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3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3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3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3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3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3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3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3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3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3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3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3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3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3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3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3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3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3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3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3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3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3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3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3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3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3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3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3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3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3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3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3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3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3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3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3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3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3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3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3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3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3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3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3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3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3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3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3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3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3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3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3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3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3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3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3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3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3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3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3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3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3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3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3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3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3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3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3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3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3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3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3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3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3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3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3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3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3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3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3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3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3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3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3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3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3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3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3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3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3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3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3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3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3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3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3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3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3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3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3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3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3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3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3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3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3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3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3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3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3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3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3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3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3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3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3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3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3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3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3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3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3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3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3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3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3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3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3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3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3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3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3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3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3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3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3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3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3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3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3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3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3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3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3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3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3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3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3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3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3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3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3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3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3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3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3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3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3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3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3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3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3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3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3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3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3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3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3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3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3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3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3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3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3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3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3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3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3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3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3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3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3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3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3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3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3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3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3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3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3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3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3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3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3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3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3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3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3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3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3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3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3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3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3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3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3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3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3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3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3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3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3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3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3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3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3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3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3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3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3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3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3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3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3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3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3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3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3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3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3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3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3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3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3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3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3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3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3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3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3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3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3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3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3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3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3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3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3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3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3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3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3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3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3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3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3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3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3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3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3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3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3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3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3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3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3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3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3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3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3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3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3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3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3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3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3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3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3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3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3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3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3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3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3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3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3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3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3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3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3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3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3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3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3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3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3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3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3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3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3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3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3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3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3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3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3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3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3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3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3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3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3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3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3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3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3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3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3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3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3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3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3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3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3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3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3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3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3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3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3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3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3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3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3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3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3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3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3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3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3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3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3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3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3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3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3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3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3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3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3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3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3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3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3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3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3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3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3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3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3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3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3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3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3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3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3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3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3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3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3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3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3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3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3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3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3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3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3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3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3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3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3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3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3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3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3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3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3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3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3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3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3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3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3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3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3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3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3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3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3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3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3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3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3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3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3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3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3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3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3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3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3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3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3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3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3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3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3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3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3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3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3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3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3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3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3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3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3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3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3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3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3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3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3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3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3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3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3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3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3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3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3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3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3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3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3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3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3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3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3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3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3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3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3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3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3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3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3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3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3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3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3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3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3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3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3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3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3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3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3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3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3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3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3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3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3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3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3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3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3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3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3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3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3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3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3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3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3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3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3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3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3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3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3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3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3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3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3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3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3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3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3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3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3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3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3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3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3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3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3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3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3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3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3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3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3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3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3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3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3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3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3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3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3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3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3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3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3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3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3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3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3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3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3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3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3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3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3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3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3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3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3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3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3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3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3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3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3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3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3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3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3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3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3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3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3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3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3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3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3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3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3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3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3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3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3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3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3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3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3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3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3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3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3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3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3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3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3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3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3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3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3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3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3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3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3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3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3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3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3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3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3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3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3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3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3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3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3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3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3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3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3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3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3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3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3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3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3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3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3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3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3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3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3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3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3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3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3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3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3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3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3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3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3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3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3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3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3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3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3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3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3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3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3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3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3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3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3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3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3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3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3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3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3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3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3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3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3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3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3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3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3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3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3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3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3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3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3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3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3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3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3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3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3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3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3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3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3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3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3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3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3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3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3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3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3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3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3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3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3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3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3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3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3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3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3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3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3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3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3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3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3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3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3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3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3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3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3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3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3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3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3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3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3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3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3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3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3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3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3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3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3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3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3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3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3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3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3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3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3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3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3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3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3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3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3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3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3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3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3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3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3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3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3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3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3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3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3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3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3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3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3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3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3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3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3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3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3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3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3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3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3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3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3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3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3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3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3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3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3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3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3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3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3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3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3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3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3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3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3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3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3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3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3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3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3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3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3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3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3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3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3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3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3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3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3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3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3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3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3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3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3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3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3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3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3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3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3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3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3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3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3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3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3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3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3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3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3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3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3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3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3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3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3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3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3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3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3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3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3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3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3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3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3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3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3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3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3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3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3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3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3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3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3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3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3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3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3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3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3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3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3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3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3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3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3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3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3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3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3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3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3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3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3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3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3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3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3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3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3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3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3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3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3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3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3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3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3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3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3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3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3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3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3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3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3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3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3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3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3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3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3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3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3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3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3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3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3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3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3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3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3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3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3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3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3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3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3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3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3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3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3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3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3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3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3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3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3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3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3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3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3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3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3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3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3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3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3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3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3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3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3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3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3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3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3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3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3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3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3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3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3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3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3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3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3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3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3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3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3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3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3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3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3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3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3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3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3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3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3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3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3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3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3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3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3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3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3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3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3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3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3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3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3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3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3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3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3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3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3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3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3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3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3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3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3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3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3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3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3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3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3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3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3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3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3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3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3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3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3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3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3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3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3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3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3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3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3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3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3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3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3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3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3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3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3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3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3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3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3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3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3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3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3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3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3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3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3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3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3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3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3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3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3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3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3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3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3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3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3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3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3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3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3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3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3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3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3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3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3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3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3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3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3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3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3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3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3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3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3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3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3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3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3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3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3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3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3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3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3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3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3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3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3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3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3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3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3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3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3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3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3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3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3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3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3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3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3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3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3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3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3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3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3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3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3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3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3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3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3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3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3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3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3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3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3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3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3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3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3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3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3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3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3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3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3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3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3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3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3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3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3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3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3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3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3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3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3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3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3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3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3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3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3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3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3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3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3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3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3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3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3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3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3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3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3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3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3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3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3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3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3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3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3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3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3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3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3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3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3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3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3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3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3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3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3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3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3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3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3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3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3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3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3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3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3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3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3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3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3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3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3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3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3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3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3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3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3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3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3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3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3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3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3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3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3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3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3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3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3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3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3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3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3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3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3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3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3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3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3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3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3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3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3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3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3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3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3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3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3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3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3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3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3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3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3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3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3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3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3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3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3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3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3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3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3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3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3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3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3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3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3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3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3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3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3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3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3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3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3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3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3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3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3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3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3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3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3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3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3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3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3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3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3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3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3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3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3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3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3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3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3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3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3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3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3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3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3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3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3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3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3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3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3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3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3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3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3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3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3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3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3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3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3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3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3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3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3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3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3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3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3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3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3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3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3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3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3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3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3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3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3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3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3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3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3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3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3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3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3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3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3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3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3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3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3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3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3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3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3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3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3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3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3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3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3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3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3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3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3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3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3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3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3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3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3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3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3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3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3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3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3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3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3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3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3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3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3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3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3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3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3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3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3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3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3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3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3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3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3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3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3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3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3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3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3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3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3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3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3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3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3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3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3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3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3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3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3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3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3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3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3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3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3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3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3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3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3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3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3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3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3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3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3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3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3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3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3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3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3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3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3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3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3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3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3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3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3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3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3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3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3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3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3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3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3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3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3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3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3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3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3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3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3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3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3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3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3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3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3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3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3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3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3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3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3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3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3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3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3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3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3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3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3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3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3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3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3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3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3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3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3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3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3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3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3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3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3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3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3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3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3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3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3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3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3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3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3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3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3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3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3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3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3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3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3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3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3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3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3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3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3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3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3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3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3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3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3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3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3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3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3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3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3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3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3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3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3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3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3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3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3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3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3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3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3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3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3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3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3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3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3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3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3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3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3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3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3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3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3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3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3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3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3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3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3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3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3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3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3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3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3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3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3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3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3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3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3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3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3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3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3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3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3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3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3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3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3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3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3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3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3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3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3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3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3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3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3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3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3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3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3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3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3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3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3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3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3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3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3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3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3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3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3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3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3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3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3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3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3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3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3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3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3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3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3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3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3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3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3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3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3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3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3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3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3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3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3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3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3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3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3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3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3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3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3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3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3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3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3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3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3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3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3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3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3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3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3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3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3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3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3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3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3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3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3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3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3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3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3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3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3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3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3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3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3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3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3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3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3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3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3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3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3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3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3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3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3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3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3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3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3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3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3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3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3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3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3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3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3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3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3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3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3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3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3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3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3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3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3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3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3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3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3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3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3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3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3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3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3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3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3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3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3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3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3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3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3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3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3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3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3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3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3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3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3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3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3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3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3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3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3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3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3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3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3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3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3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3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3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3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3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3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3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3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3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3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3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3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3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3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3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3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3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3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3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3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3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3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3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3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3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3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3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3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3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3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3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3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3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3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3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3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3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3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3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3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3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3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3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3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3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3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3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3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3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3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3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3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3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3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3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3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3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3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3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3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3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3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3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3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3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3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3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3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3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3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3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3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3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3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3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3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3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3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3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3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3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3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3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3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3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3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3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3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3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3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3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3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3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3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3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3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3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3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3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3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3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3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3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3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3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3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3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3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3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3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3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3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3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3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3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3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3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3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3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3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3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3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3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3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3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3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3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3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3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3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3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3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3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3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3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3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3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3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3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3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3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3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3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3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3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3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3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3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3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3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3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3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3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3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3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3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3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3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3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3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3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3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3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3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3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3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3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3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3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3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3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3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3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3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3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3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3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3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3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3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3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3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3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3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3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3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3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3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3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3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3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3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3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3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3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3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3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3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3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3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3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3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3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3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3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3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3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3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3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3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3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3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3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3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3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3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3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3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3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3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3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3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3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3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3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3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3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3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3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3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3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3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3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3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3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3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3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3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3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3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3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3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3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3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3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3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3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3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3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3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3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3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3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3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3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3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3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3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3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3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3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3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3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3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3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3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3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3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3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3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3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3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3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3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3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3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3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3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3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3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3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3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3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3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3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3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3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3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3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3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3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3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3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3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3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3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3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3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3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3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3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3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3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3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3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3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3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3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3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3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3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3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3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3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3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3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3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3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3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3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3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3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3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3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3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3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3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3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3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3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3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3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3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3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3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3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3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3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3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3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3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3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3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3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3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3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3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3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3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3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3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3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3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3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3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3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3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3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3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3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3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3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3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3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3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3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3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3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3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3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3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3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3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3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3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3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3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3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3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3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3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3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3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3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3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3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3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3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3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3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3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3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3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3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3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3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3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3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3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3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3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3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3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3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3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3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3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3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3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3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3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3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3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3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3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3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3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3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3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3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3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3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3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3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3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3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3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3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3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3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3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3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3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3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3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3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3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3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3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3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3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3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3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3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3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3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3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3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3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3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3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3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3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3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3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3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3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3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3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3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3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3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3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3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3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3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3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3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3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3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3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3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3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3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3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3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3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3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3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3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3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3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3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3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3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3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3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3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3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3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3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3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3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3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3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3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3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3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3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3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3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3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3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3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3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3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3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3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3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3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3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3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3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3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3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3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3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3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3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3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3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3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3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3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3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3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3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3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3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3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3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3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3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3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3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3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3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3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3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3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3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3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3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3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3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3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3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3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3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3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3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3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3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3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3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3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3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3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3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3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3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3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3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3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3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3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3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3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3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3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3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3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3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3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3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3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3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3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3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3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3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3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3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3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3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3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3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3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3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3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3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3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3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3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3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3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3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3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3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3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3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3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3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3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3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3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3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3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3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3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3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3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3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3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3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3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3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3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3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3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3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3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3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3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3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3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3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3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3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3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3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3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3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3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3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3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3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3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3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3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3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3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3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3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3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3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3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3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3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3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3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3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3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3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3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3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3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3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3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3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3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3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3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3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3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3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3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3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3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3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3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3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3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3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3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3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3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3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3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3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3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3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3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3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3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3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3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3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3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3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3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3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3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3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3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3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3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3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3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3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3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3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3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3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3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3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3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3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3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3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3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3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3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3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3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3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3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3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3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3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3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3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3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3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3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3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3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3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3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3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3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3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3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3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3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3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3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3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3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3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3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3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3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3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3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3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3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3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3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3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3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3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3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3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3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3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3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3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3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3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3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3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3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3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3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3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3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3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3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3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3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3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3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3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3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3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3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3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3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3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3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3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3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3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3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3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3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3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3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3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3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3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3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3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3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3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3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3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3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3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3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3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3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3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3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3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3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3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3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3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3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3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3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3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3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3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3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3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3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3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3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3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3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3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3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3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3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3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3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3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3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3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3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3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3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3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3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3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3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3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3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3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3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3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3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3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3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3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3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3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3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3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3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3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3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3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3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3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3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3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3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3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3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3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3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3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3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3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3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3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3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3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3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3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3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3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3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3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3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3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3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3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3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3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3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3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3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3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3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3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3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3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3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3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3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3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3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3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3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3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3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3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3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3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3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3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3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3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3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3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3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3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3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3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3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3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3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3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3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3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3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3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3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3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3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3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3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3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3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3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3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3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3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3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3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3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3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3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3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3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3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3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3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3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3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3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3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3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3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3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3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3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3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3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3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3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3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3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3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3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3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3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3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3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3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3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3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3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3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3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3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3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3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3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3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3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3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3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3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3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3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3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3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3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3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3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3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3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3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3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3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3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3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3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3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3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3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3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3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3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3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3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3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3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3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3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3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3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3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3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3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3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3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3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3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3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3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3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3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3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3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3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3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3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3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3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3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3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3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3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3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3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3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3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3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3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3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3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3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3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3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3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3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3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3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3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3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3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3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3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3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3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3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3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3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3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3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3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3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3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3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3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3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3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3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3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3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3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3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3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3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3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3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3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3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3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3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3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3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3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3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3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3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3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3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3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3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3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3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3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3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3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3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3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3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3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3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3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3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3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3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3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3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3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3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3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3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3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3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3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3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3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3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3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3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3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3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3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3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3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3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3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3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3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3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3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3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3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3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3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3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3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3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3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3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3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3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3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3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3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3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3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3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3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3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3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3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3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3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3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3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3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3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3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3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3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3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3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3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3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3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3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3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3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3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3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3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3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3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3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3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3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3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3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3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3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3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3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3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3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3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3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3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3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3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3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3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3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3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3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3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3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3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3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3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3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3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3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3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3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3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3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3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3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3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3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3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3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3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3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3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3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3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3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3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3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3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3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3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3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3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3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3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3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3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3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3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3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3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3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3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3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3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3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3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3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3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3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3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3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3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3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3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3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3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3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3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3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3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3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3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3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3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3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3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3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3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3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3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3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3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3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3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3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3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3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3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3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3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3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3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3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3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3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3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3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3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3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3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3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3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3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3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3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3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3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3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3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3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3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3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3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3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3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3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3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3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3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3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3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3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3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3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3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3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3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3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3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3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3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3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3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3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3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3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3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3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3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3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3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3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3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3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3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3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3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3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3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3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3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3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3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3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3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3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3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3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3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3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3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3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3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3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3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3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3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3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3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3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3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3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3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3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3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3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3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3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3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3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3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3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3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3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3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3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3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3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3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3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3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3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3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3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3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3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3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3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3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3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3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3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3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3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3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3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3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3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3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3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3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3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3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3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3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3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3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3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3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3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3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3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3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3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3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3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3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3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3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3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3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3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3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3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3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3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3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3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3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3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3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3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3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3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3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3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3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3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3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3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3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3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3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3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3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3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3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3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3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3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3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3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3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3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3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3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3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3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3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3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3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3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3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3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3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3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3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3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3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3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3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3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3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3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3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3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3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3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3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3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3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3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3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3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3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3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3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3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3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3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3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3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3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3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3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3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3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3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3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3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3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3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3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3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3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3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3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3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3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3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3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3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3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3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3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3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3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3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3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3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3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3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3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3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3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3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3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3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3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3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3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3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3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3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3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3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3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3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3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3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3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3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3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3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3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3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3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3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3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3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3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3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3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3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3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3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3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3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3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3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3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3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3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3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3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3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3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3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3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3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3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3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3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3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3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3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3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3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3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3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3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3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3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3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3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3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3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3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3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3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3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3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3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3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3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3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3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3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3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3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3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3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3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3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3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3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3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3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3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3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3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3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3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3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3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3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3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3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3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3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3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3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3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3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3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3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3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3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3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3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3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3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3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3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3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3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3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3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3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3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3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3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3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3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3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3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3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3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3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3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3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3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3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3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3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3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3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3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3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3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3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3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3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3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3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3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3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3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3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3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3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3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3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3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3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3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3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3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3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3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3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3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3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3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3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3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3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3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3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3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3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3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3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3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3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3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3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3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3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3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3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3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3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3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3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3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3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3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3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3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3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3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3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3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3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3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3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3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3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3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3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3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3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3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3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3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3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3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3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3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3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3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3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3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3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3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3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3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3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3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3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3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3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3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3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3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3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3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3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3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3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3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3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3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3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3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3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3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3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3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3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3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3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3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3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3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3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3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3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3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3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3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3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3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3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3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3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3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3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3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3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3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3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3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3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3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3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3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3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3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3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3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3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3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3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3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3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3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3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3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3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3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3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3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3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3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3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3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3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3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3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3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3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3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3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3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3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3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3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3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3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3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3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3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3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3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3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3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3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3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3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3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3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3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3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3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3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3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3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3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3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3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3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3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3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3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3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3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3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3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3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3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3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3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3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3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3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3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3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3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3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3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3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3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3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3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3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3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3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3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3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3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3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3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3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3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3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3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3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3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3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3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3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3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3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3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3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3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3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3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3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3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3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3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3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3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3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3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3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3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3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3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3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3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3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3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3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3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3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3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3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3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3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3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3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3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3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3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3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3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3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3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3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3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3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3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3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3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3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3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3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3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3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3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3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3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3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3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3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3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3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3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3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3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3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3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3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3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3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3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3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3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3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3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3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3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3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3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3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3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3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3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3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3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3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3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3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3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3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3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3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3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3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3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3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3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3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3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3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3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3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3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3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3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3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3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3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3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3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3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3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3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3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3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3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3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3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3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3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3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3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3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3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3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3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3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3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3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3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3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3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3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3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3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3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3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3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3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3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3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3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3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3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3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3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3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3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3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3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3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3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3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3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3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3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3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3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3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3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3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3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3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3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3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3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3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3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3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3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3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3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3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3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3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3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3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3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3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3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3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3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3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3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3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3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3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3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3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3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3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3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3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3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3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3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3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3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3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3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3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3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3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3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3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3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3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3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3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3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3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3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3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3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3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3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3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3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3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3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3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3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3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3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3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3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3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3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3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3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3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3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3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3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3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3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3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3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3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3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3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3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3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3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3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3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3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3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3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3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3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3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3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3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3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3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3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3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3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3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3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3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3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3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3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3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3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3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3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3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3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3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3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3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3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3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3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3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3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3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3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3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3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3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3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3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3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3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3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3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3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3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3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3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3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3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3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3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3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3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3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3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3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3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3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3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3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3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3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3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3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3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3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3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3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3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3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3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3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3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3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3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3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3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3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3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3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3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3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3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3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3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3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3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3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3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3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3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3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3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3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3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3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3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3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3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3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3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3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3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3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3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3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3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3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3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3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3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3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3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3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3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3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3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3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3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3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3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3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3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3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3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3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3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3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3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3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3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3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3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3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3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3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3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3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3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3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3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3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3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3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3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3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3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3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3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3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3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3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3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3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3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3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3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3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3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3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3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3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3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3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3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3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3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3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3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3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3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3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3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3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3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3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3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3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3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3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3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3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3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3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3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3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3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3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3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3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3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3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3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3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3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3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3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3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3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3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3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3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3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3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3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3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3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3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3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3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3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3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3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3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3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3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3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3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3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3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3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3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3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3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3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3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3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3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3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3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3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3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3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3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3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3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3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3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3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3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3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3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3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3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3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3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3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3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3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3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3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3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3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3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3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3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3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3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3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3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3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3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3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3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3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3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3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3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3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3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3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3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3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3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3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3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3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3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3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3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3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3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3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3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3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3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3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3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3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3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3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3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3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3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3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3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3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3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3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3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3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3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3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3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3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3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3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3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3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3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3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3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3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3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3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3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3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3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3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3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3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3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3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3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3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3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3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3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3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3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3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3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3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3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3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3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3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3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3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3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3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3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3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3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3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3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3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3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3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3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3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3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3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3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3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3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3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3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3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3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3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3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3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3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3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3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3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3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3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3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3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3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3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3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3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3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3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3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3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3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3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3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3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3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3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3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3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3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3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3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3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3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3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3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3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3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3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3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3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3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3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3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3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3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3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3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3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3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3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3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3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3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3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3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3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3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3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3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3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3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3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3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3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3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3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3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3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3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3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3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3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3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3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3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3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3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3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3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3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3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3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3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3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3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3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3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3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3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3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3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3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3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3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3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3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3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3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3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3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3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3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3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3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3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3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3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3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3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3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3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3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3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3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3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3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3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3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3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3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3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3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3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3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3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3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3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3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3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3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3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3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3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3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3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3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3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3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3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3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3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3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3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3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3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3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3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3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3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3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3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3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3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3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3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3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3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3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3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3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3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3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3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3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3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3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3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3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3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3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3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3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3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3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3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3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3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3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3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3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3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3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3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3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3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3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3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3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3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3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3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3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3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3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3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3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3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3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3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3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3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3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3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3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3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3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3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3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3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3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3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3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3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3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3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3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3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3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3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3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3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3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3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3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3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3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3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3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3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3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3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3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3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3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3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3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3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3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3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3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3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3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3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3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3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3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3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3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3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3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3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3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3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3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3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3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3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3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3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3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3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3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3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3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3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3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3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3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3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3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3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3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3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3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3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3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3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3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3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3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3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3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3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3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3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3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3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3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3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3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3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3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3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3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3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3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3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3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3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3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3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3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3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3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3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3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3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3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3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3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3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3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3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3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3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3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3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3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3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3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3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3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3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3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3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3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3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3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3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3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3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3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3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3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3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3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3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3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3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3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3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3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3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3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3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3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3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3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3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3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3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3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3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3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3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3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3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3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3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3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3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3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3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3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3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3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3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3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3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3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3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3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3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3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3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3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3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3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3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3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3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3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3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3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3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3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3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3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3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3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3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3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3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3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3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3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3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3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3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3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3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3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3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3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3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3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3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3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3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3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3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3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3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3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3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3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3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3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3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3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3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3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3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3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3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3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3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3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3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3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3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3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3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3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3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3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3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3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3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3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3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3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3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3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3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3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3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3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3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3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3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3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3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3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3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3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3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3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3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3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3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3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3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3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3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3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3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3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3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3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3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3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3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3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3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3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3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3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3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3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3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3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3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3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3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3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3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3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3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3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3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3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3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3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3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3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3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3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3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3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3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3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3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3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3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3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3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3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3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3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3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3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3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3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3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3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3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3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3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3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3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3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3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3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3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3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3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3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3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3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3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3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3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3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3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3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3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3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3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3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3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3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3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3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3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3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3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3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3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3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3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3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3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3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3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3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3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3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3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3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3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3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3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3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3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3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3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3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3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3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3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3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3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3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3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3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3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3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3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3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3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3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3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3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3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3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3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3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3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3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3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3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3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3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3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3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3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3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3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3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3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3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3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3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3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3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3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3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3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3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3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3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3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3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3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3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3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3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3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3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3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3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3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3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3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3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3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3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3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3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3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3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3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3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3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3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3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3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3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3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3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3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3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3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3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3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3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3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3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3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3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3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3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3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3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3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3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3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3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3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3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3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3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3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3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3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3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3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3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3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3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3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3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3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3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3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3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3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3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3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3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3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3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3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3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3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3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3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3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3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3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3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3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3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3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3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3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3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3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3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3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3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3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3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3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3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3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3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3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3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3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3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3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3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3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3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3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3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3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3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3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3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3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3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3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3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3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3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3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3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3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3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3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3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3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3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3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3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3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3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3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3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3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3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3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3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3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3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3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3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3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3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3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3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3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3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3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3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3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3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3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3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3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3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3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3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3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3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3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3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3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3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3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3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3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3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3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3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3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3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3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3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3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3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3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3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3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3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3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3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3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3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3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3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3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3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3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3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3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3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3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3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3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3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3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3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3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3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3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3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3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3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3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3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3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3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3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3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3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3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3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3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3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3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3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3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3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3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3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3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3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3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3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3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3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3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3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3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3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3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3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3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3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3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3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3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3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3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3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3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3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3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3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3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3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3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3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3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3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3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3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3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3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3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3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3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3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3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3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3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3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3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3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3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3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3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3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3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3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3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3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3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3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3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3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3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3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3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3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3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3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3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3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3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3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3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3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3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3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3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3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3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3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3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3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3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3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3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3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3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3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3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3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3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3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3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3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3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3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3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3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3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3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3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3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3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3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3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3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3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3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3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3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3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3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3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3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3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3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3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3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3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3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3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3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3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3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3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3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3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3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3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3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3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3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3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3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3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3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3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3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3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3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3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3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3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3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3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3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3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3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3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3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3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3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3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3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3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3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3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3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3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3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3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3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3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3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3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3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3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3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3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3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3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3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3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3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3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3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3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3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3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3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3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3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3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3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3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3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3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3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3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3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3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3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3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3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3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3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3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3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3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3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3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3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3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3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3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3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3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3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3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3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3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3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3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3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3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3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3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3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3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3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3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3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3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3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3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3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3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3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3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3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3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3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3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3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3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3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3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3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3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3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3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3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3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3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3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3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3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3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3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3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3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3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3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3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3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3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3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3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3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3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3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3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3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3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3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3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3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3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3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3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3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3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3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3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3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3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3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3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3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3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3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3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3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3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3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3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3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3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3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3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3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3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3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3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3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3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3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3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3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3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3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3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3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3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3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3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3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3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3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3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3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3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3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3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3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3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3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3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3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3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3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3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3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3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3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3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3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3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3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3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3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3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3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3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3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3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3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3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3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3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3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3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3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3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3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3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3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3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3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3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3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3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3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3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3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3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3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3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3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3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3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3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3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3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3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3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3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3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3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3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3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3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3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3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3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3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3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3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3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3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3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3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3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3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3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3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3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3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3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3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3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3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3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3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3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3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3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3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3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3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3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3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3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3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3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3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3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3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3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3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3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3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3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3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3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3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3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3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3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3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3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3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3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3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3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3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3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3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3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3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3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3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3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3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3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3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3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3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3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3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3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3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3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3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3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3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3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3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3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3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3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3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3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3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3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3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3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3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3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3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3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3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3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3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3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3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3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3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3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3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3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3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3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3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3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3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3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3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3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3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3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3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3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3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3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3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3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3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3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3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3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3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3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3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3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3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3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3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3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3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3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3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3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3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3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3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3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3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3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3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3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3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3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3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3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3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3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3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3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3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3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3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3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3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3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3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3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3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3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3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3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3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3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3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3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3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3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3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3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3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3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3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3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3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3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3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3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3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3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3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3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3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3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3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3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3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3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3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3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3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3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3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3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3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3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3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3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3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3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3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3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3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3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3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3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3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3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3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3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3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3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3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3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3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3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3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3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3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3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3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3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3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3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3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3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3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3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3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3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3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3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3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3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3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3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3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3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3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3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3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3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3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3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3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3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3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3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3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3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3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3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3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3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3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3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3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3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3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3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3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3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3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3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3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3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3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3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3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3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3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3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3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3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3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3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3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3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3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3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3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3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3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3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3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3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3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3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3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3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3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3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3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3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3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3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3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3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3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3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3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3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3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3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3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3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3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3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3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3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3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3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3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3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3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3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3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3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3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3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3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3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3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3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3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3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3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3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3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3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3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3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3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3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3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3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3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3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3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3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3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3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3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3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3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3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3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3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3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3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3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3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3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3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3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3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3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3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3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3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3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3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3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3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3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3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3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3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3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3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3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3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3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3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3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3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3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3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3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3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3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3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3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3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3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3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3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3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3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3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3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3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3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3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3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3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3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3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3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3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3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3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3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3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3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3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3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3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3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3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3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3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3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3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3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3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3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3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3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3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3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3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3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3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3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3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3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3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3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3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3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3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3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3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3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3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3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3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3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3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3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3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3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3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3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3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3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3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3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3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3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3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3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3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3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3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3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3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3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3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3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3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3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3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3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3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3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3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3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3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3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3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3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3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3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3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3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3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3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3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3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3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3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3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3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3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3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3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3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3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3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3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3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3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3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3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3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3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3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3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3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3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3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3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3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3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3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3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3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3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3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3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3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3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3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3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3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3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3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3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3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3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3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3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3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3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3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3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3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3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3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3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3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3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3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3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3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3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3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3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3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3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3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3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3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3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3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3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3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3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3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3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3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3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3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3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3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3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3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3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3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3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3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3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3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3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3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3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3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3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3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3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3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3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3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3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3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3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3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3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3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3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3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3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3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3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3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3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3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3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3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3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3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3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3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3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3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3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3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3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3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3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3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3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3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3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3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3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3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3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3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3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3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3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3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3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3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3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3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3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3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3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3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3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3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3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3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3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3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3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3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3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3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3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3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3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3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3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3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3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3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3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3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3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3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3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3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3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3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3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3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3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3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3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3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3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3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3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3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3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3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3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3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3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3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3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3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3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3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3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3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3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3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3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3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3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3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3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3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3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3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3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3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3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3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3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3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3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3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3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3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3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3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3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3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3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3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3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3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3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3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3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3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3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3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3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3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3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3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3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3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3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3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3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3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3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3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3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3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3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3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3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3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3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3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3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3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3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3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3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3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3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3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3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3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3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3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3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3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3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3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3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3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3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3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3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3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3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3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3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3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3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3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3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3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3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3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3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3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3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3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3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3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3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3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3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3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3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3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3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3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3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3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3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3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3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3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3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3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3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3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3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3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3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3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3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3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3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3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3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3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3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3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3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3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3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3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3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3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3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3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3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3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3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3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3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3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3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3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3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3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3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3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3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3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3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3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3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3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3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3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3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3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3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3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3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3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3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3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3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3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3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3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3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3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3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3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3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3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3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3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3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3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3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3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3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3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3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3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3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3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3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3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3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3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3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3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3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3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3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3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3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3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3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3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3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3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3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3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3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3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3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3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3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3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3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3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3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3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3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3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3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3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3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3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3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3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3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3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3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3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3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3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3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3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3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3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3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3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3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3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3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3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3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3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3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3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3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3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3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3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3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3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3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3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3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3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3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3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3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3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3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3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3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3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3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3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3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3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3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3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3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3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3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3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3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3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3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3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3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3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3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3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3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3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3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3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3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3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3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3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3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3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3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3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3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3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3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3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3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3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3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3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3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3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3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3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3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3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3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3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3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3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3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3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3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3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3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3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3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3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3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3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3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3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3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3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3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3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3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3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3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3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3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3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3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3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3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3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3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3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3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3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3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3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3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3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3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3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3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3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3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3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3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3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3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3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3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3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3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3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3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3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3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3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3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3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3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3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3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3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3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3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3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3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3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3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3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3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3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3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3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3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3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3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3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3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3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3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3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3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3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3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3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3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3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3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3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3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3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3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3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3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3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3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3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3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3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3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3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3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3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3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3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3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3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3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3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3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3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3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3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3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3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3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3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3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3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3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3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3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3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3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3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3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3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3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3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3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3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3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3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3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3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3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3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3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3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3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3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3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3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3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3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3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3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3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3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3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3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3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3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3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3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3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3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3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3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3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3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3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3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3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3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3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3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3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3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3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3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3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3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3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3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3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3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3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3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3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3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3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3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3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3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3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3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3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3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3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3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3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3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3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3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3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3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3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3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3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3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3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3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3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3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3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3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3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3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3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3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3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3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3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3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3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3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3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3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3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3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3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3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3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3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3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3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3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3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3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3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3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3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3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3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3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3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3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3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3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3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3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3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3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3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3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3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3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3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3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3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3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3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3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3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3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3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3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3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3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3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3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3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3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3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3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3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3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3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3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3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3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3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3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3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3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3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3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3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3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3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3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3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3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3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3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3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3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3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3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3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3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3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3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3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3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3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3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3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3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3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3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3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3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3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3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3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3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3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3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3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3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3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3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3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3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3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3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3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3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3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3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3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3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3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3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3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3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3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3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3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3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3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3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3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3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3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3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3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3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3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3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3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3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3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3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3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3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3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3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3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3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3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3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3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3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3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3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3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3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3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3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3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3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3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3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3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3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3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3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3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3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3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3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3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3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3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3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3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3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3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3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3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3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3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3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3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3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3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3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3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3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3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3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3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3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3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3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3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3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3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3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3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3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3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3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3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3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3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3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3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3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3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3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3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3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3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3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3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3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3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3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3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3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3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3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3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3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3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3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3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3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3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3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3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3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3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3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3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3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3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3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3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3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3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3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3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3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3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3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3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3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3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3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3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3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3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3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3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3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3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3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3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3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3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3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3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3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3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3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3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3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3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3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3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3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3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3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3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3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3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3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3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3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3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3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3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3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3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3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3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3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3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3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3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3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3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3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3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3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3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3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3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3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3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3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3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3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3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3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3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3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3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3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3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3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3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3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3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3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3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3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3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3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3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3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3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3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3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3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3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3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3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3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3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3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3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3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3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3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3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3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3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3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3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3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3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3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3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3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3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3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3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3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3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3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3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3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3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3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3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3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3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3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3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3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3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3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3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3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3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3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3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3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3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3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3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3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3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3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3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3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3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3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3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3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3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3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3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3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3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3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3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3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3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3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3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3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3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3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3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3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3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3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3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3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3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3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3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3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3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3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3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3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3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3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3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3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3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3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3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3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3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3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3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3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3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3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3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3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3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3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3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3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3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3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3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3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3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3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3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3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3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3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3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3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3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3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3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3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3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3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3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3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3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3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3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3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3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3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3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3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3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3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3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3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3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3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3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3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3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3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3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3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3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3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3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3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3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3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3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3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3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3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3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3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3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3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3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3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3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3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3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3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3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3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3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3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3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3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3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3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3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3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3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3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3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3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3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3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3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3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3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3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3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3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3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3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3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3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3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3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3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3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3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3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3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3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3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3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3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3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3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3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3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3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3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3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3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3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3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3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3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3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3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3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3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3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3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3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3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3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3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3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3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3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3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3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3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3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3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3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3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3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3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3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3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3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3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3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3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3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3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3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3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3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3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3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3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3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3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3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3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3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3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3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3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3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3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3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3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3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3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3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3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3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3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3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3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3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3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3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3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3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3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3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3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3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3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3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3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3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3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3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3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3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3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3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3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3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3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3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3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3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3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3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3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3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3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3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3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3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3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3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3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3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3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3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3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3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3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3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3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3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3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3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3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3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3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3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3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3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3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3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3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3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3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3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3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3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3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3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3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3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3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3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3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3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3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3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3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3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3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3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3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3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3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3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3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3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3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3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3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3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3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3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3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3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3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3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3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3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3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3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3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3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3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3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3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3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3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3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3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3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3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3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3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3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3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3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3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3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3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3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3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3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3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3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3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3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3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3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3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3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3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3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3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3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3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3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3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3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3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3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3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3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3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3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3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3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3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3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3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3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3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3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3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3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3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3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3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3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3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3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3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3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3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3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3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3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3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3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3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3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3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3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3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3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3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3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3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3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3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3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3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3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3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3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3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3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3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3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3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3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3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3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3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3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3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3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3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3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3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3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3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3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3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3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3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3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3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3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3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3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3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3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3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3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3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3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3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3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3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3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3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3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3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3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3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3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3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3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3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3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3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3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3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3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3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3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3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3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3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3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3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3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3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3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3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3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3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3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3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3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3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3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3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3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3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3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3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3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3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3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3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3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3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3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3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3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3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3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3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3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3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3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3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3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3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3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3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3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3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3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3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3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3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3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3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3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3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3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3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3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3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3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3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3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3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3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3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3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3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3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3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3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3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3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3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3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3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3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3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3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3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3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3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3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3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3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3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3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3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3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3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3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3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3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3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3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3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3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3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3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3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3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3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3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3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3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3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3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3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3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3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3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3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3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3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3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3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3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3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3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3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3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3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3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3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3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3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3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3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3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3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3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3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3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3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3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3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3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3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3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3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3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3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3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3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3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3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3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3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3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3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3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3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3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3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3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3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3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3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3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3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3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3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3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3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3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3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3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3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3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3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3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3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3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3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3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3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3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3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3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3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3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3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3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3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3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3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3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3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3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3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3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3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3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3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3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3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3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3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3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3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3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3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3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3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3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3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3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3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3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3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3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3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3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3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3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3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3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3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3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3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3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3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3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3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3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3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3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3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3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3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3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3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3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3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3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3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3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3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3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3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3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3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3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3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3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3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3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3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3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3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3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3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3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3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3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3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3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3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3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3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3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3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3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3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3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3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3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3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3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3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3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3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3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3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3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3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3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3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3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3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3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3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3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3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3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3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3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3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3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3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3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3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3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3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3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3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3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3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3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3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3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3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3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3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3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3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3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3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3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3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3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3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3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3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3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3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3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3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3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3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3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3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3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3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3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3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3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3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3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3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3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3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3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3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3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3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3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3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3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3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3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3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3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3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3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3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3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3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3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3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3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3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3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3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3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3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3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3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3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3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3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3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3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3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3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3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3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3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3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3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3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3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3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3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3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3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3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3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3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3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3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3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3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3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3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3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3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3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3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3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3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3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3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3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3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3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3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3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3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3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3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3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3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3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3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3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3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3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3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3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3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3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3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3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3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3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3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3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3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3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3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3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3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3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3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3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3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3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3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3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3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3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3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3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3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3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3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3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3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3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3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3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3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3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3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3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3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3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3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3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3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3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3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3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3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3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3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3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3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3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3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3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3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3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3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3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3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3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3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3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3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3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3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3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3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3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3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3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3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3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3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3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3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3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3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3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3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3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3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3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3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3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3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3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3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3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3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3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3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3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3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3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3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3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3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3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3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3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3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3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3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3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3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3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3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3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3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3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3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3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3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3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3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3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3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3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3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3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3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3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3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3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3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3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3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3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3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3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3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3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3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3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3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3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3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3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3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3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3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3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3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3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3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3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3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3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3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3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3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3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3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3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3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3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3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3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3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3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3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3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3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3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3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3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3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3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3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3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3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3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3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3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3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3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3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3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3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3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3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3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3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3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3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3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3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3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3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3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3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3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3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3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3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3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3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3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3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3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3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3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3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3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3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3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3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3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3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3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3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3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3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3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3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3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3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3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3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3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3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3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3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3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3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3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3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3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3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3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3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3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3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3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3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3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3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3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3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3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3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3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3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3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3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3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3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3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3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3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3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3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3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3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3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3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3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3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3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3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3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3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3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3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3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3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3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3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3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3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3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3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3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3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3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3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3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3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3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3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3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3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3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3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3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3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3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3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3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3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3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3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3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3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3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3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3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3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3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3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3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3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3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3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3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3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3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3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3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3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3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3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3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3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3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3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3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3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3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3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3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3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3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3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3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3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3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3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3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3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3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3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3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3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3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3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3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3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3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3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3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3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3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3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3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3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3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3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3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3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3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3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3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3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3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3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3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3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3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3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3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3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3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3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3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3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3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3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3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3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3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3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3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3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3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3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3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3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3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3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3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3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3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3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3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3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3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3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3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3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3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3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3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3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3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3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3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3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3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3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3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3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3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3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3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3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3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3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3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3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3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3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3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3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3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3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3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3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3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3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3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3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3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3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3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3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3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3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3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3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3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3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3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3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3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3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3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3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3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3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3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3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3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3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3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3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3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3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3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3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3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3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3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3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3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3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3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3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3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3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3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3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3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3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3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3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3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3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3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3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3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3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3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3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3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3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3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3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3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3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3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3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3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3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3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3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3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3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3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3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3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3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3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3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3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3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3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3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3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3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3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3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3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3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3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3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3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3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3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3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3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3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3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3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3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3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3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3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3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3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3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3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3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3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3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3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3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3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3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3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3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3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3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3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3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3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3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3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3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3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3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3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3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3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3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3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3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3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3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3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3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3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3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3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3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3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3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3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3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3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3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3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3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3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3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3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3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3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3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3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3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3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3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3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3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3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3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3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3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3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3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3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3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3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3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3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3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3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3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3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3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3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3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3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3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3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3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3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3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3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3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3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3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3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3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3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3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3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3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3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3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3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3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3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3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3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3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3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3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3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3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3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3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3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3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3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3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3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3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3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3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3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3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3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3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3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3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3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3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3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3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3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3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3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3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3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3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3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3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3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3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3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3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3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3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3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3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3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3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3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3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3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3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3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3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3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3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3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3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3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3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3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3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3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3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3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3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3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3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3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3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3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3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3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3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3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3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3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3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3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3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3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3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3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3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3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3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3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3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3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3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3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3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3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3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3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3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3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3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3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3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3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3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3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3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3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3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3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3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3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3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3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3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3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3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3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3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3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3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3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3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3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3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3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3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3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3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3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3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3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3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3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3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3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3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3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3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3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3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3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3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3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3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3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3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3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3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3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3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3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3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3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3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3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3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3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3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3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3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3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3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3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3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3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3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3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3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3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3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3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3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3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3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3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3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3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3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3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3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3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3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3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3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3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3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3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3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3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3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3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3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3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3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3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3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3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3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3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3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3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3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3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3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3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3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3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3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3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3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3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3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3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3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3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3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3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3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3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3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3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3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3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3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3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3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3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3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3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3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3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3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3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3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3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3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3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3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3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3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3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3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3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3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3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3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3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3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3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3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3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3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3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3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3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3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3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3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3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3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3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3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3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3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3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3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3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3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3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3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3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3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3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3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3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3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3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3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3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3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3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3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3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3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3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3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3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3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3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3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3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3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3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3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3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3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3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3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3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3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3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3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3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3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3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3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3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3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3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3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3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3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3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3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3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3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3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3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3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3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3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3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3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3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3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3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3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3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3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3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3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3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3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3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3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3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3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3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3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3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3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3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3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3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3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3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3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3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3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3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3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3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3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3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3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3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3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3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3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3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3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3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3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3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3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3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3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3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3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3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3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3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3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3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3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3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3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3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3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3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3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3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3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3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3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3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3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3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3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3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3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3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3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3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3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3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3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3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3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3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3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3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3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3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3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3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3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3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3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3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3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3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3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3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3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3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3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3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3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3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3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3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3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3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3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3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3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3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3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3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3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3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3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3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3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3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3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3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3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3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3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3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3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3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3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3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3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3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3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3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3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3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3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3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3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3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3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3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3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3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3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3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3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3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3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3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3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3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3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3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3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3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3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3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3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3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3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3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3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3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3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3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3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3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3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3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3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3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3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3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3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3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3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3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3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3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3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3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3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3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3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3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3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3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3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3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3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3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3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3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3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3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3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3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3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3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3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3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3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3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3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3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3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3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3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3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3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3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3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3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3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3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3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3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3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3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3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3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3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3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3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3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3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3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3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3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3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3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3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3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3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3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3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3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3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3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3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3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3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3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3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3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3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3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3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3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3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3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3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3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3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3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3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3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3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3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3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3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3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3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3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3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3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3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3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3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3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3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3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3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3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3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3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3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3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3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3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3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3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3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3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3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3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3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3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3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3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3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3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3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3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3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3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3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3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3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3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3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3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3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3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3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3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3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3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3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3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3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3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3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3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3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3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3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3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3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3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3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3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3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3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3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3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3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3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3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3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3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3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3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3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3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3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3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3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3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3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3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3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3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3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3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3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3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3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3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3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3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3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3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3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3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3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3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3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3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3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3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3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3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3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3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3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3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3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3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3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3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3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3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3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3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3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3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3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3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3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3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3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3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3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3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3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3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3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3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3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3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3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3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3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3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3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3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3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3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3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3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3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3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3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3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3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3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3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3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3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3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3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3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3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3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3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3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3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3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3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3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3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3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3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3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3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3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3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3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3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3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3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3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3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3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3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3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3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3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3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3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3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3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3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3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3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3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3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3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3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3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3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3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3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3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3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3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3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3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3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3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3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3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3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3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3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3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3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3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3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3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3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3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3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3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3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3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3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3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3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3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3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3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3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3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3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3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3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3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3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3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3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3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3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3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3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3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3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3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3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3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3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3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3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3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3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3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3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3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3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3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3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3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3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3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3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3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3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3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3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3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3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3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3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3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3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3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3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3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3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3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3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3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3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3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3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3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3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3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3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3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3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3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3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3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3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3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3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3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3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3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3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3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3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3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3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3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3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3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3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3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3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3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3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3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3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3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3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3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3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3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3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3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3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3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3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3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3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3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3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3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3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3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3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3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3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3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3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3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3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3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3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3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3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3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3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3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3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3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3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3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3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3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3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3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3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3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3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3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3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3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3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3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3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3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3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3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3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3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3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3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3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3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3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3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3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3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3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3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3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3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3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3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3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3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3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3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3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3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3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3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3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3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3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3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3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3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3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3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3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3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3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3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3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3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3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3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3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3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3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3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3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3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3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3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3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3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3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3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3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3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3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3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3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3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3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3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3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3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3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3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3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3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3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3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3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3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3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3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3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3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3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3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3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3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3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3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3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3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3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3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3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3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3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3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3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3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3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3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3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3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3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3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3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3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3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3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3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3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3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3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3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3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3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3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3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3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3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3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3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3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3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3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3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3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3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3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3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3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3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3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3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3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3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3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3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3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3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3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3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3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3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3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3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3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3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3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3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3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3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3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3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3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3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3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3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3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3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3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3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3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3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3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3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3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3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3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3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3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3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3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3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3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3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3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3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3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3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3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3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3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3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3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3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3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3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3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3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3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3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3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3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3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3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3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3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3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3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3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3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3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3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3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3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3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3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3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3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3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3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3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3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3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3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3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3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3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3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3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3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3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3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3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3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3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3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3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3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3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3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3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3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3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3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3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3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3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3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3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3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3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3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3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3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3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3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3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3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3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3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3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3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3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3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3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3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3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3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3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3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3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3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3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3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3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3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3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3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3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3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3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3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3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3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3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3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3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3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3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3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3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3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3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3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3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3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3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3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3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3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3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3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3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3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3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3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3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3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3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3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3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3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3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3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3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3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3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3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3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3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3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3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3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3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3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3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3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3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3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3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3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3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3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3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3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3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3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3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3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3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3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3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3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3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3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3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3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3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3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3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3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3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3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3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3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3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3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3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3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3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3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3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3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3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3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3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3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3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3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3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3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3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3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3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3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3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3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3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3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3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3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3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3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3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3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3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3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3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3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3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3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3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3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3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3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3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3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3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3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3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3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3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3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3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3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3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3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3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3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3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3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3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3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3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3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3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3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3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3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3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3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3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3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3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3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3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3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3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3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3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3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3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3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3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3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3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3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3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3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3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3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3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3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3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3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3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3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3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3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3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3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3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3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3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3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3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3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3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3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3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3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3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3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3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3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3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3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3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3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3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3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3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3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3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3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3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3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3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3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3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3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3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3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3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3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3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3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3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3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3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3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3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3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3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3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3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3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3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3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3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3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3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3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3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3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3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3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3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3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3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3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3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3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3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3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3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3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3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3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3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3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3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3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3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3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3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3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3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3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3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3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3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3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3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3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3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3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3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3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3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3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3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3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3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3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3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3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3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3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3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3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3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3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3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3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3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3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3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3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3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3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3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3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3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3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3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3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3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3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3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3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3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3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3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3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3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3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3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3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3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3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3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3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3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3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3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3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3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3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3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3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3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3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3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3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3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3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3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3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3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3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3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3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3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3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3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3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3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3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3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3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3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3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3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3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3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3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3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3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3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3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3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3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3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3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3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3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3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3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3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3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3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3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3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3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3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3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3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3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3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3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3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3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3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3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3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3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3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3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3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3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3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3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3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3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3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3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3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3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3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3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3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3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3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3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3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3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3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3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3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3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3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3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3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3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3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3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3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3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3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3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3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3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3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3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3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3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3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3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3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3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3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3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3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3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3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3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3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3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3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3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3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3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3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3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3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3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3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3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3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3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3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3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3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3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3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3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3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3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3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3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3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3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3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3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3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3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3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3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3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3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3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3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3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3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3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3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3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3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3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3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3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3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3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3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3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3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3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3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3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3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3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3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3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3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3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3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3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3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3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3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3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3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3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3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3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3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3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3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3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3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3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3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3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3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3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3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3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3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3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3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3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3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3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3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3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3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3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3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3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3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3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3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3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3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3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3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3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3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3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3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3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3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3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3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3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3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3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3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3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3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3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3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3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3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3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3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3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3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3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3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3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3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3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3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3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3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3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3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3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3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3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3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3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3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3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3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3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3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3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3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3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3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3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3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3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3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3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3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3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3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3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3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3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3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3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3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3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3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3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3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3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3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3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3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3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3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3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3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3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3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3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3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3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3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3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3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3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3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3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3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3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3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3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3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3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3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3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3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3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3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3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3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3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3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3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3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3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3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3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3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3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3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3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3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3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3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3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3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3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3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3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3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3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3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3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3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3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3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3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3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3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3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3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3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3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3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3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3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3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3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3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3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3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3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3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3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3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3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3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3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3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3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3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3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3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3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3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3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3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3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3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3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3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3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3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3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3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3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3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3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3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3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3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3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3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3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3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3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3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3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3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3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3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3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3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3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3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3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3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3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3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3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3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3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3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3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3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3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3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3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3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3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3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3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3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3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3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3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3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3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3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3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3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3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3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3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3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3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3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3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3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3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3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3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3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3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3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3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3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3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3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3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3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3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3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3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3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3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3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3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3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3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3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3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3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3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3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3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3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3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3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3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3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3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3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3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3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3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3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3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3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3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3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3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3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3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3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3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3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3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3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3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3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3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3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3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3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3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3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3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3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3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3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3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3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3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3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3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3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3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3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3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3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3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3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3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3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3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3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3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3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3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3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3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3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3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3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3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3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3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3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3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3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3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3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3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3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3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3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3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3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3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3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3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3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3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3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3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3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3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3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3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3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3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3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3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3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3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3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3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3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3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3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3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3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3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3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3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3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3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3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3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3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3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3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3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3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3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3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3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3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3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3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3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3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3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3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3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3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3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3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3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3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3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3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3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3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3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3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3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3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3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3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3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3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3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3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3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3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3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3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3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3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3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3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3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3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3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3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3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3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3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3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3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3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3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3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3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3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3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3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3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3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3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3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3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3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3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3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3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3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3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3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3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3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3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3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3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3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3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3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3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3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3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3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3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3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3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3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3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3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3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3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3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3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3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3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3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3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3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3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3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3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3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3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3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3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3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3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3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3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3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3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3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3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3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3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3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3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3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3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3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3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3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3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3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3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3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3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3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3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3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3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3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3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3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3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3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3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3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3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3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3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3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3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3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3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3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3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3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3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3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3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3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3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3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3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3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3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3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3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3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3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3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3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3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3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3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3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3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3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3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3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3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3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3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3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3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3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3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3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3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3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3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3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3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3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3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3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3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3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3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3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3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3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3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3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3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3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3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3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3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3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3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3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3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3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3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3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3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3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3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3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3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3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3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3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3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3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3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3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3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3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3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3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3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3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3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3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3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3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3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3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3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3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3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3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3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3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3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3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3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3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3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3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3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3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3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3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3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3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3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3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3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3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3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3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3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3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3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3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3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3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3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3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3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3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3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3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3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3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3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3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3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3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3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3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3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3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3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3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3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3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3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3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3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3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3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3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3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3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3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3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3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3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3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3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3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3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3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3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3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3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3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3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3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3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3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3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3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3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3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3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3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3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3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3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3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3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3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3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3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3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3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3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3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3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3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3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3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3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3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3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3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3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3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3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3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3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3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3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3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3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3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3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3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3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3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3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3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3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3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3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3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3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3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3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3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3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3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3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3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3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3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3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3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3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3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3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3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3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3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3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3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3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3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3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3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3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3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3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3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3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3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3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3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3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3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3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3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3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3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3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3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3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3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3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3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3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3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3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3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3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3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3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3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3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3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3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3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3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3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3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3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3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3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3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3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3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3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3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3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3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3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3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3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3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3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3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3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3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3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3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3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3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3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3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3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3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3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3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3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3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3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3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3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3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3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3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3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3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3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3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3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3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3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3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3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3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3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3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3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3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3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3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3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3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3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3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3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3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3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3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3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3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3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3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3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3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3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3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3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3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3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3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3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3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3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3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3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3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3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3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3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3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3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3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3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3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3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3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3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3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3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3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3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3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3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3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3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3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3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3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3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3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3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3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3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3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3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3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3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3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3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3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3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3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3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3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3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3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3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3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3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3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3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3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3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3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3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3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3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3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3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3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3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3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3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3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3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3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3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3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3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3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3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3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3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3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3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3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3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3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3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3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3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3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3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3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3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3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3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3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3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3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3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3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3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3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3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3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3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3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3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3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3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3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3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3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3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3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3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3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3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3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3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3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3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3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3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3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3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3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3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3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3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3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3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3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3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3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3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3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3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3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3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3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3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3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3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3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3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3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3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3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3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3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3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3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3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3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3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3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3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3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3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3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3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3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3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3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3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3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3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3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3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3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3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3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3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3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3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3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3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3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3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3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3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3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3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3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3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3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3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3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3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3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3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3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3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3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3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3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3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3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3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3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3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3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3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3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3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3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3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3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3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3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3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3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3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3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3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3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3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3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3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3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3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3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3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3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3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3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3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3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3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3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3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3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3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3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3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3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3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3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3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3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3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3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3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3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3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3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3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3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3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3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3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3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3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3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3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3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3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3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3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3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3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3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3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3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3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3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3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3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3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3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3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3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3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3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3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3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3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3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3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3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3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3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3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3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3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3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3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3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3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3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3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3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3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3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3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3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3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3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3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3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3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3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3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3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3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3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3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3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3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3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3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3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3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3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3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3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3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3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3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3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3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3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3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3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3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3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3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3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3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3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3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3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3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3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3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3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3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3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3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3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3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3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3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3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3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3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3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3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3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3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3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3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3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3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3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3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3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3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3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3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3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3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3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3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3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3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3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3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3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3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3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3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3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3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3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3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3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3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3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3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3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3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3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3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3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3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3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3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3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3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3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3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3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3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3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3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3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3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3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3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3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3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3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3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3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3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3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3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3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3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3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3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3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3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3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3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3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3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3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3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3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3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3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3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3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3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3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3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3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3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3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3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3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3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3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3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3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3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3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3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3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3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3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3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3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3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3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3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3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3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3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3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3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3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3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3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3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3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3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3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3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3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3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3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3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3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3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3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3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3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3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3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3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3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3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3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3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3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3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3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3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3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3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3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3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3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3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3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3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3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3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3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3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3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3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3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3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3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3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3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3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3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3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3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3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3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3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3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3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3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3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3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3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3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3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3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3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3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3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3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3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3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3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3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3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3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3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3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3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3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3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3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3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3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3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3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3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3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3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3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3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3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3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3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3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3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3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3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3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3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3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3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3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3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3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3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3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3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3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3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3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3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3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3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3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3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3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3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3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3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3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3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3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3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3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3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3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3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3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3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3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3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3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3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3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3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3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3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3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3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3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3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3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3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3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3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3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3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3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3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3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3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3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3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3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3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3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3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3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3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3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3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3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3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3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3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3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3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3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3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3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3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3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3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3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3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3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3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3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3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3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3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3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3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3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3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3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3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3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3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3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3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3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3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3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3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3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3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3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3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3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3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3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3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3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3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3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3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3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3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3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3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3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3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3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3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3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3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3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3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3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3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3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3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3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3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3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3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3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3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3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3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3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3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3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3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3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3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3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3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3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3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3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3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3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3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3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3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3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3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3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3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3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3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3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3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3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3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3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3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3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3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3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3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3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3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3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3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3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3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3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3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3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3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3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3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3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3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3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3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3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3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3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3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3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3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3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3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3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3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3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3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3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3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3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3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3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3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3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3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3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3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3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3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3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3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3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3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3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3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3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3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3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3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3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3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3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3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3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3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3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3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3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3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3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3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3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3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3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3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3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3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3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3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3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3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3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3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3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3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3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3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3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3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3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3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3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3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3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3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3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3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3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3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3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3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3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3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3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3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3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3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3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3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3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3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3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3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3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3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3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3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3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3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3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3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3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3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3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3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3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3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3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3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3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3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3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3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3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3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3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3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3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3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3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3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3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3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3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3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3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3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3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3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3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3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3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3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3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3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3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3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3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3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3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3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3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3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3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3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3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3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3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3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3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3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3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3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3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3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3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3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3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3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3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3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3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3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3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3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3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3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3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3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3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3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3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3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3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3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3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3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3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3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3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3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3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3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3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3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3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3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3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3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3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3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3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3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3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3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3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3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3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3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3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3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3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3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3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3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3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3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3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3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3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3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3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3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3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3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3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3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3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3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3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3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3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3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3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3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3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3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3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3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3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3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3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3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3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3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3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3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3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3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3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3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3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3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3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3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3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3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3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3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3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3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3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3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3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3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3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3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3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3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3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3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3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3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3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3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3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3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3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3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3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3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3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3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3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3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3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3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3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3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3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3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3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3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3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3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3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3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3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3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3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3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3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3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3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3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3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3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3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3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3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3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3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3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3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3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3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3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3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3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3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3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3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3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3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3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3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3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3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3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3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3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3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3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3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3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3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3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3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3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3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3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3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3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3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3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3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3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3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3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3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3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3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3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3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3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3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3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3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3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3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3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3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3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3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3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3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3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3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3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3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3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3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3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3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3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3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3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3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3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3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3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3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3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3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3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3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3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3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3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3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3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3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3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3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3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3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3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3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3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3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3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3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3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3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3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3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3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3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3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3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3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3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3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3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3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3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3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3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3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3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3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3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3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3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3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3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3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3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3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3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3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3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3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3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3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3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3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3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3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3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3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3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3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3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3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3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3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3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3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3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3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3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3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3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3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3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3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3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3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3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3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3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3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3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3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3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3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3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3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3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3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3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3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3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3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3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3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3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3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3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3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3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3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3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3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3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3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3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3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3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3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3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3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3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3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3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3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3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3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3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3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3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3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3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3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3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3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3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3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3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3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3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3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3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3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3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3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3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3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3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3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3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3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3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3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3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3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3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3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3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3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3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3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3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3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3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3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3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3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3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3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3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3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3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3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3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3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3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3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3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3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3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3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3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3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3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3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3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3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3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3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3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3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3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3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3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3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3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3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3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3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3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3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3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3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3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3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3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3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3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3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3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3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3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3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3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3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3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3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3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3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3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3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3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3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3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3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3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3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3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3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3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3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3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3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3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3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3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3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3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3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3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3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3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3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3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3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3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3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3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3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3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3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3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3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3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3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3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3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3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3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3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3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3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3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3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3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3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3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3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3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3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3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3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3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3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3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3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3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3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3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3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3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3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3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3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3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3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3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3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3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3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3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3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3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3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3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3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3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3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3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3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3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3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3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3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3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3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3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3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3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3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3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3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3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3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3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3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3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3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3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3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3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3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3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3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3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3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3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3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3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3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3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3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3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3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3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3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3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3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3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3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3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3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3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3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3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3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3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3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3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3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3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3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3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3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3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3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3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3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3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3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3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3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3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3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3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3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3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3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3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3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3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3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3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3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3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3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3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3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3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3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3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3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3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3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3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3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3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3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3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3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3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3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3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3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3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3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3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3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3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3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3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3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3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3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3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3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3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3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3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3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3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3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3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3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3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3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3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3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3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3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3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3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3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3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3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3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3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3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3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3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3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3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3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3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3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3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3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3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3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3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3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3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3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3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3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3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3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3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3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3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3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3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3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3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3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3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3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3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3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3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3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3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3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3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3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3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3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3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3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3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3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3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3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3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3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3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3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3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3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3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3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3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3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3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3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3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3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3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3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3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3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3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3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3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3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3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3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3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3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3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3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3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3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3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3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3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3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3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3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3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3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3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3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3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3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3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3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3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3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3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3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3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3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3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3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3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3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3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3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3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3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3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3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3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3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3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3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3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3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3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3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3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3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3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3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3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3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3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3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3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3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3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3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3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3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3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3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3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3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3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3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3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3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3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3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3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3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3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3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3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3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3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3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3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3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3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3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3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3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3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3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3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3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3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3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3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3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3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3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3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3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3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3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3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3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3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3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3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3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3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3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3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3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3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3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3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3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3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3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3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3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3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3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3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3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3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3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3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3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3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3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3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3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3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3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3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3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3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3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3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3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3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3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3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3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3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3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3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3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3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3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3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3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3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3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3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3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3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3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3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3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3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3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3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3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3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3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3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3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3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3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3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3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3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3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3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3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3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3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3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3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3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3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3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3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3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3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3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3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3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3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3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3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3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3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3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3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3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3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3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3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3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3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3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3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3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3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3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3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3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3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3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3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3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3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3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3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3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3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3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3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3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3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3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3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3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3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3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3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3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3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3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3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3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3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3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3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3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3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3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3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3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3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3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3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3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3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3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3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3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3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3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3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3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3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3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3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3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3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3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3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3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3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3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3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3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3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3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3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3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3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3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3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3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3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3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3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3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3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3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3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3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3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3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3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3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3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3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3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3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3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3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3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3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3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3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3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3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3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3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3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3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3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3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3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3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3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3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3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3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3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3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3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3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3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3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3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3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3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3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3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3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3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3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3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3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3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3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3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3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3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3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3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3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3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3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3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3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3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3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3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3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3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3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3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3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3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3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3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3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3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3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3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3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3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3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3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3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3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3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3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3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3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3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3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3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3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3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3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3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3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3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3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3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3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3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3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3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3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3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3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3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3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3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3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3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3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3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3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3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3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3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3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3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3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3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3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3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3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3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3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3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3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3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3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3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3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3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3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3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3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3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3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3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3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3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3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3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3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3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3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3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3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3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3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3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3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3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3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3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3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3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3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3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3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3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3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3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3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3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3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3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3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3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3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3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3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3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3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3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3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3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3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3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3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3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3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3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3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3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3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3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3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3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3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3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3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3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3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3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3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3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3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3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3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3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3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3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3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3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3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3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3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3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3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3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3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3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3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3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3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3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3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3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3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3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3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3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3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3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3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3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3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3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3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3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3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3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3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3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3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3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3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3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3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3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3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3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3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3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3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3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3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3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3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3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3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3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3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3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3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3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3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3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3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3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3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3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3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3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3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3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3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3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3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3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3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3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3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3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3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3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3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3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3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3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3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3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3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3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3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3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3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3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3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3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3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3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3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3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3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3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3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3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3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3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3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3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3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3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3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3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3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3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3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3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3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3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3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3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3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3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3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3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3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3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3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3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3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3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3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3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3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3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3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3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3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3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3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3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3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3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3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3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3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3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3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3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3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3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3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3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3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3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3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3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3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3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3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3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3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3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3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3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3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3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3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3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3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3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3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3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3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3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3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3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3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3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3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3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3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3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3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3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3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3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3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3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3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3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3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3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3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3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3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3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3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3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3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3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3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3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3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3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3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3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3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3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3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3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3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3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3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3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3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3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3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3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3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3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3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3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3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3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3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3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3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3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3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3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3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3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3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3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3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3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3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3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3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3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3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3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3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3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3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3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3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3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3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3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3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3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3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3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3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3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3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3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3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3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3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3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3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3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3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3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3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3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3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3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3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3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3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3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3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3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3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3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3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3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3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3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3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3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3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3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3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3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3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3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3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3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3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3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3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3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3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3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3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3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3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3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3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3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3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3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3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3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3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3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3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3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3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3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3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3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3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3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3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3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3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3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3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3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3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3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3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3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3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3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3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3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3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3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3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3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3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3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3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3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3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3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3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3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3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3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3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3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3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3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3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3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3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3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3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3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3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3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3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3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3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3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3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3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3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3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3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3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3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3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3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3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3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3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3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3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3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3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3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3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3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3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3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3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3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3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3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3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3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3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3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3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3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3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3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3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3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3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3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3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3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3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3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3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3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3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3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3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3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3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3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3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3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3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3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3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3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3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3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3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3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3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3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3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3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3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3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3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3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3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3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3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3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3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3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3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3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3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3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3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3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3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3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3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3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3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3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3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3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3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3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3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3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3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3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3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3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3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3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3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3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3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3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3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3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3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3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3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3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3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3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3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3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3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3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3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3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3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3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3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3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3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3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3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3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3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3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3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3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3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3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3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3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3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3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3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3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3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3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3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3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3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3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3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3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3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3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3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3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3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3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3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3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3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3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3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3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3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3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3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3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3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3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3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3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3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3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3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3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3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3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3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3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3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3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3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3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3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3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3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3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3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3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3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3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3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3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3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3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3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3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3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3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3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3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3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3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3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3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3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3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3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3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3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3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3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3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3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3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3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3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3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3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3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3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3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3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3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3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3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3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3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3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3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3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3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3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3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3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3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3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3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3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3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3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3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3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3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3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3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3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3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3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3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3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3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3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3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3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3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3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3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3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3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3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3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3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3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3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3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3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3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3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3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3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3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3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3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3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3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3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3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3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3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3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3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3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3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3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3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3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3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3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3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3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3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3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3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3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3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3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3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3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3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3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3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3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3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3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3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3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3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3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3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3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3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3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3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3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3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3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3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3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3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3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3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3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3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3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3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3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3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3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3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3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3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3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3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3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3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3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3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3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3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3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3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3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3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3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3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3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3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3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3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3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3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3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3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3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3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3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3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3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3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3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3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3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3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3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3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3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3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3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3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3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3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3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3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3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3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3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3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3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3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3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3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3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3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3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3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3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3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3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3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3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3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3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3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3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3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3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3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3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3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3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3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3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3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3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3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3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3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3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3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3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3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3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3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3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3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3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3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3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3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3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3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3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3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3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3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3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3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3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3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3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3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3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3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3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3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3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3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3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3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3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3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3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3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3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3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3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3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3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3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3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3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3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3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3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3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3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3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3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3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3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3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3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3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3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3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3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3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3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3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3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3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3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3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3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3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3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3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3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3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3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3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3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3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3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3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3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3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3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3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3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3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3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3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3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3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3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3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3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3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3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3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3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3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3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3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3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3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3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3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3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3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3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3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3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3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3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3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3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3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3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3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3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3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3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3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3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3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3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3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3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3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3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3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3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3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3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3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3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3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3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3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3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3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3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3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3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3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3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3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3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3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3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3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3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3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3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3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3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3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3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3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3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3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3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3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3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3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3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3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3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3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3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3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3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3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3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3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3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3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3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3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3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3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3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3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3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3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3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3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3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3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3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3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3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3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3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3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3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3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3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3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3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3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3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3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3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3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3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3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3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3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3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3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3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3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3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3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3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3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3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3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3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3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3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3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3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3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3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3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3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3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3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3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3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3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3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3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3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3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3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3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3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3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3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3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3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3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3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3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3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3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3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3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3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3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3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3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3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3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3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3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3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3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3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3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3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3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3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3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3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3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3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3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3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3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3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3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3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3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3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3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3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3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3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3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3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3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3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3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3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3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3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3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3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3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3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3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3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3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3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3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3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3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3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3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3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3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3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3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3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3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3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3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3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3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3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3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3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3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3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3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3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3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3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3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3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3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3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3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3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3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3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3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3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3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3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3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3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3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3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3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3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3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3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3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3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3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3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3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3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3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3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3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3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3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3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3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3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3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3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3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3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3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3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3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3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3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3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3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3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3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3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3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3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3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3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3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3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3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3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3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3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3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3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3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3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3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3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3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3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3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3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3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3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3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3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3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3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3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3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3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3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3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3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3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3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3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3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3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3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3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3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3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3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3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3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3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3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3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3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3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3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3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3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3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3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3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3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3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3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3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3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3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3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3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3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3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3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3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3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3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3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3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3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3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3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3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3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3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3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3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3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3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3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3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3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3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3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3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3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3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3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3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3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3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3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3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3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3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3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3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3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3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3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3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3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3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3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3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3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3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3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3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3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3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3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3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3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3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3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3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3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3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3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3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3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3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3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3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3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3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3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3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3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3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3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3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3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3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3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3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3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3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3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3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3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3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3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3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3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3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3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3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3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3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3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3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3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3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3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3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3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3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3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3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3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3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3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3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3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3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3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3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3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3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3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3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3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3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3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3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3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3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3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3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3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3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3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3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3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3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3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3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3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3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3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3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3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3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3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3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3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3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3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3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3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3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3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3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3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3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3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3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3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3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3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3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3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3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3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3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3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3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3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3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3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3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3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3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3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3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3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3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3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3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3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3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3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3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3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3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3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3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3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3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3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3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3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3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3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3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3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3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3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3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3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3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3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3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3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3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3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3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3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3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3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3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3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3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3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3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3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3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3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3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3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3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3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3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3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3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3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3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3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3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3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3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3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3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3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3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3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3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3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3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3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3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3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3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3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3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3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3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3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3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3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3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3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3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3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3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3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3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3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3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3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3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3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3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3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3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3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3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3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3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3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3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3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3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3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3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3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3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3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3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3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3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3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3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3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3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3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3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3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3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3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3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3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3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3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3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3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3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3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3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3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3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3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3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3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3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3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3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3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3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3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3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3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3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3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3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3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3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3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3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3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3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3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3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3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3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3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3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3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3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3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3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3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3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3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3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3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3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3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3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3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3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3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3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3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3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3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3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3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3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3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3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3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3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3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3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3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3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3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3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3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3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3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3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3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3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3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3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3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3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3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3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3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3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3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3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3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3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3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3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3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3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3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3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3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3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3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3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3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3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3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3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3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3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3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3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3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3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3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3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3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3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3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3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3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3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3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3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3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3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3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3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3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3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3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3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3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3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3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3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3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3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3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3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3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3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3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3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3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3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3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3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3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3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3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3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3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3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3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3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3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3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3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3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3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3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3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3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3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3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3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3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3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3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3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3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3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3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3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3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3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3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3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3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3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3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3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3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3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3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3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3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3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3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3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3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3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3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3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3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3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3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3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3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3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3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3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3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3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3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3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3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3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3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3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3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3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3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3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3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3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3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3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3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3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3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3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3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3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3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3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3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3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3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3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3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3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3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3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3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3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3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3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3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3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3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3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3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3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3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3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3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3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3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3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3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3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3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3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3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3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3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3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3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3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3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3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3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3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3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3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3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3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3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3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3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3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3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3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3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3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3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3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3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3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3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3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3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3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3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3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3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3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3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3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3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3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3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3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3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3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3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3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3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3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3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3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3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3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3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3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3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3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3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3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3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3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3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3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3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3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3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3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3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3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3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3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3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3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3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3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3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3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3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3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3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3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3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3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3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3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3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3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3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3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3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3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3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3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3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3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3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3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3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3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3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3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3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3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3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3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3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3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3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3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3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3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3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3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3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3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3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3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3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3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3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3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3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3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3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3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3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3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3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3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3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3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3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3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3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3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3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3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3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3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3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3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3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3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3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3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3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3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3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3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3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3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3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3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3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3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3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3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3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3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3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3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3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3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3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3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3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3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3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3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3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3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3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3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3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3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3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3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3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3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3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3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3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3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3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3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3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3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3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3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3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3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3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3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3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3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3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3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3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3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3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3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3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3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3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3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3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3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3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3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3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3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3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3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3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3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3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3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3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3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3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3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3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3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3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3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3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3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3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3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3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3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3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3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3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3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3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3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3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3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3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3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3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3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3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3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3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3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3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3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3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3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3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3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3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3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3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3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3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3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3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3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3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3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3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3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3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3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3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3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3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3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3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3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3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3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3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3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3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3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3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3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3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3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3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3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3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3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3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3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3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3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3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3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3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3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3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3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3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3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3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3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3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3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3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3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3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3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3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3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3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3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3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3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3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3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3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3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3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3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3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3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3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3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3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3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3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3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3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3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3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3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3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3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3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3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3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3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3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3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3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3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3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3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3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3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3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3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3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3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3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3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3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3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3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3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3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3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3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3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3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3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3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3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3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3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3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3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3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3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3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3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3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3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3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3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3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3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3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3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3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3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3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3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3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3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3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3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3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3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3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3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3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3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3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3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3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3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3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3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3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3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3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3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3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3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3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3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3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3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3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3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3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3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3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3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3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3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3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3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3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3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3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3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3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3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3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3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3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3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3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3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3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3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3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3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3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3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3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3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3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3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3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3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3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3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3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3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3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3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3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3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3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3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3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3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3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3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3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3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3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3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3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3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3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3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3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3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3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3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3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3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3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3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3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3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3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3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3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3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3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3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3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3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3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3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3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3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3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3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3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3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3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3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3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3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3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3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3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3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3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3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3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3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3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3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3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3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3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3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3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3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3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3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3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3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3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3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3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3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3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3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3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3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3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3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3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3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3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3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3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3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3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3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3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3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3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3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3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3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3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3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3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3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3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3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3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3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3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3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3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3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3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3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3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3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3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3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3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3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3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3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3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3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3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3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3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3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3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3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3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3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3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3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3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3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3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3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3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3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3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3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3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3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3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3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3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3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3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3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3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3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3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3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3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3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3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3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3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3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3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3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3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3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3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3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3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3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3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3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3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3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3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3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3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3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3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3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3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3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3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3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3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3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3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3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3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3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3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3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3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3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3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3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3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3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3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3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3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3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3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3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3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3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3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3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3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3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3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3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3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3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3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3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3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3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3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3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3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3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3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3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3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3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3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3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3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3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3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3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3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3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3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3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3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3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3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3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3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3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3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3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3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3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3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3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3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3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3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3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3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3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3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3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3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3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3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3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3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3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3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3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3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3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3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3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3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3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3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3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3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3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3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3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3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3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3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3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3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3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3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3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3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3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3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3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3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3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3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3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3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3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3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3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3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3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3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3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3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3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3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3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3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3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3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3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3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3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3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3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3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3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3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3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3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3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3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3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3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3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3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3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3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3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3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3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3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3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3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3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3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3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3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3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3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3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3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3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3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3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3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3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3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3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3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3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3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3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3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3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3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3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3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3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3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3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3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3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3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3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3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3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3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3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3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3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3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3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3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3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3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3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3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3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3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3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3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3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3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3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3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3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3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3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3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3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3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3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3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3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3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3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3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3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3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3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3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3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3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3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3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3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3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3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3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3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3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3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3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3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3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3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3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3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3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3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3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3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3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3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3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3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3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3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3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3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3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3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3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3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3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3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3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3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3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3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3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3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3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3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3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3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3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3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3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3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3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3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3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3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3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3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3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3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3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3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3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3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3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3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3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3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3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3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3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3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3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3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3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3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3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3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3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3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3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3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3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3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3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3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3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3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3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3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3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3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3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3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3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3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3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3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3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3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3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3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3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3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3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3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3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3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3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3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3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3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3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3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3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3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3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3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3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3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3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3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3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3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3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3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3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3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3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3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3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3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3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3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3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3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3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3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3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3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3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3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3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3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3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3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3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3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3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3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3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3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3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3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3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3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3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3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3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3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3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3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3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3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3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3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3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3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3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3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3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3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3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3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3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3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3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3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3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3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3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3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3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3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3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3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3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3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3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3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3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3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3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3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3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3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3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3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3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3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3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3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3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3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3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3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3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3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3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3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3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3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3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3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3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3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3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3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3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3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3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3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3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3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3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3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3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3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3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3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3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3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3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3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3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3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3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3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3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3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3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3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3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3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3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3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3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3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3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3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3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3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3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3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3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3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3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3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3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3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3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3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3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3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3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3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3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3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3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3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3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3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3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3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3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3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3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3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3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3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3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3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3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3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3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3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3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3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3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3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3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3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3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3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3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3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3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3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3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3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3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3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3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3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3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3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3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3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3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3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3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3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3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3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3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3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3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3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3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3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3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3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3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3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3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3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3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3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3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3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3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3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3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3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3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3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3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3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3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3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3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3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3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3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3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3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3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3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3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3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3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3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3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3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3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3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3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3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3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3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3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3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3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3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3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3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3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3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3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3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3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3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3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3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3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3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3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3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3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3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3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3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3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3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3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3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3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3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3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3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3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3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3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3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3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3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3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3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3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3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3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3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3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3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3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3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3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3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3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3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3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3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3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3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3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3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3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3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3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3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3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3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3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3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3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3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3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3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3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3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3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3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3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3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3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3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3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3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3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3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3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3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3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3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3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3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3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3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3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3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3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3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3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3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3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3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3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3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3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3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3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3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3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3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3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3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3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3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3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3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3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3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3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3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3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3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3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3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3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3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3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3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3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3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3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3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3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3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3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3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3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3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3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3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3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3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3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3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3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3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3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3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3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3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3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3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3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3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3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3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3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3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3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3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3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3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3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3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3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3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3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3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3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3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3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3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3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3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3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3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3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3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3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3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3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3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3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3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3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3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3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3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3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3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3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3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3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3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3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3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3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3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3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3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3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3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3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3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3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3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3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3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3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3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3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3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3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3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3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3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3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3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3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3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3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3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3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3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3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3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3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3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3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3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3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3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3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3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3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3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3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3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3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3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3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3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3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3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3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3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3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3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3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3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3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3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3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3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3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3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3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3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3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3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3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3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3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3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3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3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3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3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3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3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3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3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3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3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3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3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3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3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3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3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3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3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3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3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3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3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3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3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3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3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3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3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3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3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3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3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3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3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3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3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3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3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3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3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3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3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3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3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3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3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3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3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3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3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3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3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3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3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3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3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3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3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3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3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3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3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3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3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3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3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3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3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3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3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3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3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3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3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3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3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3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3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3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3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3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3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3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3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3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3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3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3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3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3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3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3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3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3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3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3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3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3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3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3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3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3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3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3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3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3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3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3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3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3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3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3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3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3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3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3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3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3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3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3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3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3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3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3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3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3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3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3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3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3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3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3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3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3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3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3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3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3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3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3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3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3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3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3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3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3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3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3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3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3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3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3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3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3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3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3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3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3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3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3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3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3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3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3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3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3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3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3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3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3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3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3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3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3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3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3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3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3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3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3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3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3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3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3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3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3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3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3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3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3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3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3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3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3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3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3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3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3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3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3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3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3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3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3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3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3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3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3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3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3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3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3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3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3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3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3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3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3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3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3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3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3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3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3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3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3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3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3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3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3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3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3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3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3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3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3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3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3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3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3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3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3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3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3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3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3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3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3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3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3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3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3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3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3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3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3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3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3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3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3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3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3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3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3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3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3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3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3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3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3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3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3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3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3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3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3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3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3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3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3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3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3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3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3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3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3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3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3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3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3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3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3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3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3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3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3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3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3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3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3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3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3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3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3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3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3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3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3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3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3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3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3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3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3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3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3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3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3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3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3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3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3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3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3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3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3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3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3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3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3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3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3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3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3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3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3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3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3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3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3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3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3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3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3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3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3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3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3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3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3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3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3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3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3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3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3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3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3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3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3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3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3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3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3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3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3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3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3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3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3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3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3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3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3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3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3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3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3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3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3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3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3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3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3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3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3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3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3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3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3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3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3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3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3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3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3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3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3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3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3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3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3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3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3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3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3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3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3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3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3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3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3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3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3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3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3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3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3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3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3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3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3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3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3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3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3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3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3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3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3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3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3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3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3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3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3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3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3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3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3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3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3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3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3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3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3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3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3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3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3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3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3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3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3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3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3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3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3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3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3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3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3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3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3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3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3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3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3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3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3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3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3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3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3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3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3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3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3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3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3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3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3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3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3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3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3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3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3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3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3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3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3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3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3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3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3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3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3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3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3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3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3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3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3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3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3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3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3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3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3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3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3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3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3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3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3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3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3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3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3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3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3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3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3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3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3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3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3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3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3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3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3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3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3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3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3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3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3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3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3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3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3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3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3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3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3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3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3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3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3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3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3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3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3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3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3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3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3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3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3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3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3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3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3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3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3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3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3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3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3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3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3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3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3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3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3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3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3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3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3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3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3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3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3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3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3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3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3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3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3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3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3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3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3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3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3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3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3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3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3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3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3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3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3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3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3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3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3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3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3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3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3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3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3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3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3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3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3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3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3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3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3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3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3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3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3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3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3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3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3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3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3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3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3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3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3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3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3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3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3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3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3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3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3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3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3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3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3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3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3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3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3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3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3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3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3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3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3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3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3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3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3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3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3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3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3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3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3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3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3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3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3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3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3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3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3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3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3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3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3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3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3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3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3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3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3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3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3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3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3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3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3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3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3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3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3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3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3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3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3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3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3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3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3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3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3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3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3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3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3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3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3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3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3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3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3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3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3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3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3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3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3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3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3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3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3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3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3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3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3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3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3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3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3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3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3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3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3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3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3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3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3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3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3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3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3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3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3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3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3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3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3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3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3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3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3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3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3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3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3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3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3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3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3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3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3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3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3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3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3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3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3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3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3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3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3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3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3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3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3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3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3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3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3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3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3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3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3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3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3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3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3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3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3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3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3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3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3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3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3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3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3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3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3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3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3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3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3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3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3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3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3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3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3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3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3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3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3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3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3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3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3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3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3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3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3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3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3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3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3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3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3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3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3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3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3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3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3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3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3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3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3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3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3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3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3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3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3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3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3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3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3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3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3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3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3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3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3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3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3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3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3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3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3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3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3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3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3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3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3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3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3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3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3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3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3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3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3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3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3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3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3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3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3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3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3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3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3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3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3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3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3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3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3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3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3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3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3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3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3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3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3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3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3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3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3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3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3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3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3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3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3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3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3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3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3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3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3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3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3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3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3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3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3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3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3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3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3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3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3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3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3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3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3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3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3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3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3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3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3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3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3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3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3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3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3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3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3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3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3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3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3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3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3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3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3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3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3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3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3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3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3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3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3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3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3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3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3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3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3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3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3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3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3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3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3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3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3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3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3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3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3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3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3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3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3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3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3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3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3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3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3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3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3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3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3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3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3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3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3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3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3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3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3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3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3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3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3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3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3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3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3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3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3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3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3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3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3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3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3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3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3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3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3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3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3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3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3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3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3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3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3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3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3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3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3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3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3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3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3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3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3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3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3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3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3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3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3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3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3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3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3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3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3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3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3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3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3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3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3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3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3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3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3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3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3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3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3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3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3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3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3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3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3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3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3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3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3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3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3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3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3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3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3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3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3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3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3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3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3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3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3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3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3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3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3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3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3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3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3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3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3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3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3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3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3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3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3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3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3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3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3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3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3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3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3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3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3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3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3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3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3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3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3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3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3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3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3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3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3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3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3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3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3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3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3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3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3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3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3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3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3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3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3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3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3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3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3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3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3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3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3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3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3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3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3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3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3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3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3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3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3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3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3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3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3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3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3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3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3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3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3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3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3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3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3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3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3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3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3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3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3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3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3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3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3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3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3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3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3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3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3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3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3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3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3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3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3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3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3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3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3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3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3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3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3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3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3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3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3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3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3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3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3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3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3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3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3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3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3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3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3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3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3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3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3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3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3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3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3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3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3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3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3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3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3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3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3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3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3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3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3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3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3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3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3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3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3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3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3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3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3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3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3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3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3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3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3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3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3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3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3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3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3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3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3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3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3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3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3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3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3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3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3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3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3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3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3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3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3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3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3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3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3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3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3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3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3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3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3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3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3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3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3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3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3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3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3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3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3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3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3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3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3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3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3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3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3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3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3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3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3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3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3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3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3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3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3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3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3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3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3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3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3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3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3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3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3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3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3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3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3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3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3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3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3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3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3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3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3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3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3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3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3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3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3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3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3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3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3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3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3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3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3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3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3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3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3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3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3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3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3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3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3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3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3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3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3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3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3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3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3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3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3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3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3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3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3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3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3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3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3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3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3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3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3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3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3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3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3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3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3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3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3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3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3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3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3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3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3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3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3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3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3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3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3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3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3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3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3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3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3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3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3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3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3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3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3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3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3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3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3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3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3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3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3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3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3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3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3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3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3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3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3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3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3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3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3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3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3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3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3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3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3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3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3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3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3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3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3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3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3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3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3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3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3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3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3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3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3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3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3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3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3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3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3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3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3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3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3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3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3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3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3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3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3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3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3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3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3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3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3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3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3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3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3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3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3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3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3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3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3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3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3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3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3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3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3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3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3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3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3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3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3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3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3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3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3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3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3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3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3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3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3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3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3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3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3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3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3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3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3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3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3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3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3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3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3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3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3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3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3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3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3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3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3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3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3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3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3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3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3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3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3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3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3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3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3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3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3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3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3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3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3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3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3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3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3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3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3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3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3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3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3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3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3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3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3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3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3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3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3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3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3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3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3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3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3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3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3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3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3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3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3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3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3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3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3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3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3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3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3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3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3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3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3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3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3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3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3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3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3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3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3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3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3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3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3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3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3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3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3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3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3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3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3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3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3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3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3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3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3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3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3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3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3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3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3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3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3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3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3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3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3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3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3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3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3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3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3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3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3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3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3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3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3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3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3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3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3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3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3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3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3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3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3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3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3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3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3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3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3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3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3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3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3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3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3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3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3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3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3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3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3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3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3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3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3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3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3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3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3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3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3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3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3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3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3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3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3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3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3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3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3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3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3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3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3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3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3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3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3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3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3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3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3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3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3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3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3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3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3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3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3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3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3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3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3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3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3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3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3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3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3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3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3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3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3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3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3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3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3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3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3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3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3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3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3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3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3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3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3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3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3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3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3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3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3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3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3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3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3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3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3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3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3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3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3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3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3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3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3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3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3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3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3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3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3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3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3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3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3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3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3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3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3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3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3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3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3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3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3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3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3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3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3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3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3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3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3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3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3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3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3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3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3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3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3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3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3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3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3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3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3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3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3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3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3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3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3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3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3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3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3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3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3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3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3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3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3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3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3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3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3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3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3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3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3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3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3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3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3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3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3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3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3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3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3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3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3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3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3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3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3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3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3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3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3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3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3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3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3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3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3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3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3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3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3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3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3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3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3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3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3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3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3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3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3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3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3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3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3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3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3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3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3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3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3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3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3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3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3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3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3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3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3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3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3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3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3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3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3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3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3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3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3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3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3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3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3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3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3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3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3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3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3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3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3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3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3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3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3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3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3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3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3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3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3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3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3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3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3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3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3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3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3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3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3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3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3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3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3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3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3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3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3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3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3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3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3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3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3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3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3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3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3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3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3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3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3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3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3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3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3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3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3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3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3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3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3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3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3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3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3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3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3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3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3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3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3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3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3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3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3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3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3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3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3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3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3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3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3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3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3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3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3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3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3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3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3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3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3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3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3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3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3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3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3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3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3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3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3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3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3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3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3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3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3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3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3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3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3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3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3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3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3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3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3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3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3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3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3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3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3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3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3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3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3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3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3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3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3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3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3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3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3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3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3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3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3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3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3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3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3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3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3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3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3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3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3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3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3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3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3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3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3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3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3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3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3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3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3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3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3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3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3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3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3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3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3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3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3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3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3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3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3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3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3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3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3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3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3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3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3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3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3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3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3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3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3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3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3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3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3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3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3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3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3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3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3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3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3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3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3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3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3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3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3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3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3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3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3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3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3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3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3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3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3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3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3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3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3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3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3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3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3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3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3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3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3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3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3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3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3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3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3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3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3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3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3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3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3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3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3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3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3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3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3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3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3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3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3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3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3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3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3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3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3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3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3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3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3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3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3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3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3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3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3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3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3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3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3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3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3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3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3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3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3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3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3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3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3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3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3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3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3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3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3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3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3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3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3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3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3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3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3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3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3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3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3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3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3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3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3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3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3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3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3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3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3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3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3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3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3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3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3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3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3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3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3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3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3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3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3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3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3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3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3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3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3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3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3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3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3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3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3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3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3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3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3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3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3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3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3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3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3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3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3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3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3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3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3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3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3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3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3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3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3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3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3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3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3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3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3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3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3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3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3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3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3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3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3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3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3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3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3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3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3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3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3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3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3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3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3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3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3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3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3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3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3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3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3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3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3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3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3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3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3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3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3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3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3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3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3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3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3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3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3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3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3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3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3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3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3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3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3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3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3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3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3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3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3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3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3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3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3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3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3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3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3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3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3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3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3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3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3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3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3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3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3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3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3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3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3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3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3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3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3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3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3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3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3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3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3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3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3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3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3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3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3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3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3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3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3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3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3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3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3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3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3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3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3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3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3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3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3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3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3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3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3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3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3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3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3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3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3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3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3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3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3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3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3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3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3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3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3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3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3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3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3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3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3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3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3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3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3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3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3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3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3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3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3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3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3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3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3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3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3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3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3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3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3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3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3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3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3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3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3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3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3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3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3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3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3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3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3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3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3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3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3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3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3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3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3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3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3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3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3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3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3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3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3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3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3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3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3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3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3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3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3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3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3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3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3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3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3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3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3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3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3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3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3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3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3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3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3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3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3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3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3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3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3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3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3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3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3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3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3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3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3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3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3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3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3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3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3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3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3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3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3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3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3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3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3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3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3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3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3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3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3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3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3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3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3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3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3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3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3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3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3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3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3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3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3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3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3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3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3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3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3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3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3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3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3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3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3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3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3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3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3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3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3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3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3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3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3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3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3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3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3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3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3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3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3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3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3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3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3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3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3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3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3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3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3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3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3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3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3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3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3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3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3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3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3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3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3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3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3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3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3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3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3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3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3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3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3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3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3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3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3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3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3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3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3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3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3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3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3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3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3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3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3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3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3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3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3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3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3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3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3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3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3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3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3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3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3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3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3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3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3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3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3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3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3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3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3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3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3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3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3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3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3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3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3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3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3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3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3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3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3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3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3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3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3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3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3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3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3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3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3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3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3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3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3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3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3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3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3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3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3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3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3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3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3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3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3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3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3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3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3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3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3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3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3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3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3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3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3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3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3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3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3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3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3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3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3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3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3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3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3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3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3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3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3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3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3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3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3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3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3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3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3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3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3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3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3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3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3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3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3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3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3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3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3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3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3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3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3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3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3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3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3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3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3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3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3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3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3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3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3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3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3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3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3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3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3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3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3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3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3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3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3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3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3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3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3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3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3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3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3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3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3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3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3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3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3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3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3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3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3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3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3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3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3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3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3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3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3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3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3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3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3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3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3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3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3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3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3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3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3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3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3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3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3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3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3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3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3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3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3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3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3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3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3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3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3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3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3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3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3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3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3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3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3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3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3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3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3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3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3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3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3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3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3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3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3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3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3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3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3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3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3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3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3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3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3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3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3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3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3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3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3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3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3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3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3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3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3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3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3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3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3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3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3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3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3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3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3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3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3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3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3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3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3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3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3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3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3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3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3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3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3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3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3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3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3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3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3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3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3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3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3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3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3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3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3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3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3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3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3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3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3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3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3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3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3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3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3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3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3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3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3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3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3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3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3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3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3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3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3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3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3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3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3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3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3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3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3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3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3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3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3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3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3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3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3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3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3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3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3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3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3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3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3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3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3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3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3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3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3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3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3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3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3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3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3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3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3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3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3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3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3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3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3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3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3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3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3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3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3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3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3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3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3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3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3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3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3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3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3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3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3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3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3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3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3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3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3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3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3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3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3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3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3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3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3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3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3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3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3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3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3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3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3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3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3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3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3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3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3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3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3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3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3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3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3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3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3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3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3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3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3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3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3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3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3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3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3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3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3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3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3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3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3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3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3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3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3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3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3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3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3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3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3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3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3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3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3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3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3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3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3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3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3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3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3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3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3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3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3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3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3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3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3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3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3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3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3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3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3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3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3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3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3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3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3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3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3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3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3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3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3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3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3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3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3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3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3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3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3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3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3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3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3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3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3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3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3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3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3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3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3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3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3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3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3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3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3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3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3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3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3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3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3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3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3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3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3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3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3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3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3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3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3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3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3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3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3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3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3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3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3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3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3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3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3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3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3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3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3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3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3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3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3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3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3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3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3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3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3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3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3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3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3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3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3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3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3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3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3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3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3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3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3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3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3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3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3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3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3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3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3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3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3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3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3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3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3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3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3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3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3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3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3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3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3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3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3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3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3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3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3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3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3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3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3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3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3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3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3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3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3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3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3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3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3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3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3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3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3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3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3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3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3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3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3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3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3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3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3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3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3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3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3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3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3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3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3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3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3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3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3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3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3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3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3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3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3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3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3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3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3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3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3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3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3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3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3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3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3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3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3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3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3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3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3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3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3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3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3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3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3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3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3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3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3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3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3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3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3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3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3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3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3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3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3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3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3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3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3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3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3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3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3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3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3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3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3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3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3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3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3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3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3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3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3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3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3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3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3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3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3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3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3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3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3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3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3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3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3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3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3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3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3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3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3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3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3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3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3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3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3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3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3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3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3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3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3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3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3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3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3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3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3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3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3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3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3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3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3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3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3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3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3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3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3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3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3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3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3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3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3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3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3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3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3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3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3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3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3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3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3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3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3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3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3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3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3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3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3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3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3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3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3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3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3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3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3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3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3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3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3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3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3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3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3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3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3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3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3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3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3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3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3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3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3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3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3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3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3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3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3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3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3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3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3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3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3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3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3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3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3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3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3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3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3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3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3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3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3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3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3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3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3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3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3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3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3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3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3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3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3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3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3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3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3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3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3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3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3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3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3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3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3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3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3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3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3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3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3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3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3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3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3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3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3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3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3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3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3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3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3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3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3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3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3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3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3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3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3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3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3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3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3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3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3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3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3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3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3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3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3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3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3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3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3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3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3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3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3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3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3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3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3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3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3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3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3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3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3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3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3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3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3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3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3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3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3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3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3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3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3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3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3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3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3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3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3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3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3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3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3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3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3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3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3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3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3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3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3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3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3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3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3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3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3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3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3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3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3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3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3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3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3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3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3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3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3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3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3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3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3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3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3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3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3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3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3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3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3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3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3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3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3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3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3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3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3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3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3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3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3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3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3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3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3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3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3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3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3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3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3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3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3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3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3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3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3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3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3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3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3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3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3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3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3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3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3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3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3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3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3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3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3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3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3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3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3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3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3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3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3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3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3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3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3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3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3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3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3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3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3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3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3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3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3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3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3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3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3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3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3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3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3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3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3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3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3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3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3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3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3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3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3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3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3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3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3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3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3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3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3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3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3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3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3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3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3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3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3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3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3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3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3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3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3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3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3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3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3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3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3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3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3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3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3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3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3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3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3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3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3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3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3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3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3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3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3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3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3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3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3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3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3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3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3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3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3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3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3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3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3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3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3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3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3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3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3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3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3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3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3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3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3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3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3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3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3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3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3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3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3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3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3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3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3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3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3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3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3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3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3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3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3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3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3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3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3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3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3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3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3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3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3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3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3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3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3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3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3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3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3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3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3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3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3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3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3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3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3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3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3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3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3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3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3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3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3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3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3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3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3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3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3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3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3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3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3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3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3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3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3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3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3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3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3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3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3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3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3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3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3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3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3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3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3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3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3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3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3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3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3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3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3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3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3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3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3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3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3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3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3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3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3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3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3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3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3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3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3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3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3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3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3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3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3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3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3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3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3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3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3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3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3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3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3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3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3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3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3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3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3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3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3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3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3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3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3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3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3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3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3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3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3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3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3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3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3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3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3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3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3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3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3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3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3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3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3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3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3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3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3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3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3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3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3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3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3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3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3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3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3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3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3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3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3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3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3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3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3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3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3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3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3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3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3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3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3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3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3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3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3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3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3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3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3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3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3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3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3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3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3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3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3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3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3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3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3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3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3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3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3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3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3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3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3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3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3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3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3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3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3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3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3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3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3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3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3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3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3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3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3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3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3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3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3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3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3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3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3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3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3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3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3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3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3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3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3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3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3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3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3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3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3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3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3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3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3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3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3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3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3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3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3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3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3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3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3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3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3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3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3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3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3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3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3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3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3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3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3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3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3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3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3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3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3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3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3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3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3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3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3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3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3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3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3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3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3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3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3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3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3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3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3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3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3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3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3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3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3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3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3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3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3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3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3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3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3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3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3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3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3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3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3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3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3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3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3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3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3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3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3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3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3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3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3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3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3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3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3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3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3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3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3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3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3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3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3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3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3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3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3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3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3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3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3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3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3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3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3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3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3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3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3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3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3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3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3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3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3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3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3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3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3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3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3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3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3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3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3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3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3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3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3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3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3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3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3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3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3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3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3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3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3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3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3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3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3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3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3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3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3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3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3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3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3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3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3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3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3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3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3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3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3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3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3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3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3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3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3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3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3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3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3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3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3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3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3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3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3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3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3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3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3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3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3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3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3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3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3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3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3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3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3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3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3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3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3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3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3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3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3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3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3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3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3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3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3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3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3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3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3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3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3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3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3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3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3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3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3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3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3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3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3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3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3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3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3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3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3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3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3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3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3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3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3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3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3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3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3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3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3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3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3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3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3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3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3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3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3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3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3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3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3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3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3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3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3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3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3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3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3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3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3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3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3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3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3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3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3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3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3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3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3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3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3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3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3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3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3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3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3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3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3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3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3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3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3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3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3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3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3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3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3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3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3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3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3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3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3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3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3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3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3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3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3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3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3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3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3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3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3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3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3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3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3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3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3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3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3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3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3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3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3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3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3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3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3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3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3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3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3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3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3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3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3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3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3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3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3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3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3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3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3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3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3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3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3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3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3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3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3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3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3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3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3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3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3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3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3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3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3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3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3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3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3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3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3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3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3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3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3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3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3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3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3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3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3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3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3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3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3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3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3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3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3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3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3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3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3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3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3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3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3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3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3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3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3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3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3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3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3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3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3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3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3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3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3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3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3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3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3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3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3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3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3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3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3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3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3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3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3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3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3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3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3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3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3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3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3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3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3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3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3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3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3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3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3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3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3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3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3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3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3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3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3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3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3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3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3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3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3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3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3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3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3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3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3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3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3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3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3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3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3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3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3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3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3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3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3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3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3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3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3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3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3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3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3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3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3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3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3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3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3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3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3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3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3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3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3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3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3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3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3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3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3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3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3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3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3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3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3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3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3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3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3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3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3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3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3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3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3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3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3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3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3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3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3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3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3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3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3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3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3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3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3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3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3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3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3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3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3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3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3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3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3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3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3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3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3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3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3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3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3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3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3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3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3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3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3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3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3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3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3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3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3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3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3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3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3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3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3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3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3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3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3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3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3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3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3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3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3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3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3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3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3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3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3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3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3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3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3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3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3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3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3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3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3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3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3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3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3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3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3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3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3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3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3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3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3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3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3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3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3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3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3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3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3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3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3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3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3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3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3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3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3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3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3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3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3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3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3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3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3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3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3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3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3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3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3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3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3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3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3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3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3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3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3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3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3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3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3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3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3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3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3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3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3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3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3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3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3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3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3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3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3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3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3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3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3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3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3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3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3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3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3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3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3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3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3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3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3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3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3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3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3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3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3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3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3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3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3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3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3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3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3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3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3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3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3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3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3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3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3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3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3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3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3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3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3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3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3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3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3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3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3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3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3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3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3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3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3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3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3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3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3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3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3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3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3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3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3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3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3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3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3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3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3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3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3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3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3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3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3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3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3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3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3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3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3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3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3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3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3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3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3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3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3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3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3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3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3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3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3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3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3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3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3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3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3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3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3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3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3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3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3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3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3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3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3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3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3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3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3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3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3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3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3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3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3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3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3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3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3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3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3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3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3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3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3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3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3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3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3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3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3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3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3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3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3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3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3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3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3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3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3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3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3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3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3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3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3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3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3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3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3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3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3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3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3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3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3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3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3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3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3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3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3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3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3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3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3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3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3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3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3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3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3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3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3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3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3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3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3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3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3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3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3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3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3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3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3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3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3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3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3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3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3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3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3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3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3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3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3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3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3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3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3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3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3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3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3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3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3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3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3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3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3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3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3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3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3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3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3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3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3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3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3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3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3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3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3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3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3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3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3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3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3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3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3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3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3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3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3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3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3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3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3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3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3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3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3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3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3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3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3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3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3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3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3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3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3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3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3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3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3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3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3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3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3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3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3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3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3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3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3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3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3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3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3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3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3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3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3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3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3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3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3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3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3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3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3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3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3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3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3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3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3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3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3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3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3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3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3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3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3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3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3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3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3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3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3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3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3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3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3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3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3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3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3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3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3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3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3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3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3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3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3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3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3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3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3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3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3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3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3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3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3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3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3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3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3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3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3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3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3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3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3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3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3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3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3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3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3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3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3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3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3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3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3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3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3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3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3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3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3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3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3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3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3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3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3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3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3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3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3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3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3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3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3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3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3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3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3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3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3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3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3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3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3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3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3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3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3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3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3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3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3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3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3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3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3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3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3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3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3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3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3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3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3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3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3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3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3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3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3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3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3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3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3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3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3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3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3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3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3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3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3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3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3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3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3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3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3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3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3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3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3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3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3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3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3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3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3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3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3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3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3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3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3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3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3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3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3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3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3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3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3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3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3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3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3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3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3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3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3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3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3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3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3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3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3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3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3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3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3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3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3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3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3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3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3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3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3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3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3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3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3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3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3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3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3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3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3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3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3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3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3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3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3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3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3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3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3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3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3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3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3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3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3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3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3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3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3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3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3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3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3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3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3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3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3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3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3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3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3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3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3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3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3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3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3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3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3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3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3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3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3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3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3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3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3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3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3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3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3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3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3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3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3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3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3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3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3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3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3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3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3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3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3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3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3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3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3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3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3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3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3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3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3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3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3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3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3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3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3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3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3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3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3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3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3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3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3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3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3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3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3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3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3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3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3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3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3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3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3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3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3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3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3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3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3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3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3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3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3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3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3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3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3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3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3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3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3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3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3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3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3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3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3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3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3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3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3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3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3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3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3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3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3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3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3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3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3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3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3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3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3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3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3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3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3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3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3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3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3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3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3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3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3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3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3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3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3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3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3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3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3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3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3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3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3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3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3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3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3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3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3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3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3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3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3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3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3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3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3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3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3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3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3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3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3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3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3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3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3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3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3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3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3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3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3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3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3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3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3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3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3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3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3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3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3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3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3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3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3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3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3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3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3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3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3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3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3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3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3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3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3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3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3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3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3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3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3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3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3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3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3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3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3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3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3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3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3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3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3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3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3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3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3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3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3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3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3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3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3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3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3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3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3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3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3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3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3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3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3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3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3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3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3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3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3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3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3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3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3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3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3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3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3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3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3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3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3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3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3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3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3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3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3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3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3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3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3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3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3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3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3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3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3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3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3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3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3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3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3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3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3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3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3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3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3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3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3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3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3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3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3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3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3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3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3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3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3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3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3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3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3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3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3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3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3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3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3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3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3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3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3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3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3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3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3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3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3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3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3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3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3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3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3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3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3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3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3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3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3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3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3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3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3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3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3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3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3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3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3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3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3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3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3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3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3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3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3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3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3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3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3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3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3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3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3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3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3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3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3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3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3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3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3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3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3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3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3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3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3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3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3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3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3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3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3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3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3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3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3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3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3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3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3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3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3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3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3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3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3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3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3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3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3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3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3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3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3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3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3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3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3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3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3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3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3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3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3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3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3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3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3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3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3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3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3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3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3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3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3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3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3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3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3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3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3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3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3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3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3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3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3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3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3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3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3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3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3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3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3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3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3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3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3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3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3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3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3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3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3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3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3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3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3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3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3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3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3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3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3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3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3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3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3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3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3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3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3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3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3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3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3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3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3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3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3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3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3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3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3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3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3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3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3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3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3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3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3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3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3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3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3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3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3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3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3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3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3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3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3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3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3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3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3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3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3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3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3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3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3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3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3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3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3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3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3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3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3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3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3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3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3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3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3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3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3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3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3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3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3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3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3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3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3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3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3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3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3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3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3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3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3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3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3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3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3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3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3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3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3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3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3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3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3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3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3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3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3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3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3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3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3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3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3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3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3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3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3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3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3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3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3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3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3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3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3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3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3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3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3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3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3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3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3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3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3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3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3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3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3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3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3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3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3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3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3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3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3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3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3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3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3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3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3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3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3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3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3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3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3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3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3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3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3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3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3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3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3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3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3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3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3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3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3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3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3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3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3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3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3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3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3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3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3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3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3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3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3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3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3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3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3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3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3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3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3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3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3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3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3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3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3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3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3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3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3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3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3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3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3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3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3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3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3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3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3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3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3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3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3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3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3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3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3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3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3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3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3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3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3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3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3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3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3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3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3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3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3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3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3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3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3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3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3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3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3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3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3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3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3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3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3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3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3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3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3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3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3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3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3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3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3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3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3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3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3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3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3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3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3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3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3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3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3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3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3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3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3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3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3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3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3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3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3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3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3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3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3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3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3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3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3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3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3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3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3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3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3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3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3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3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3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3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3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3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3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3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3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3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3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3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3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3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3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3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3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3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3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3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3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3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3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3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3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3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3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3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3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3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3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3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3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3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3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3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3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3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3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3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3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3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3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3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3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3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3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3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3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3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3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3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3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3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3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3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3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3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3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3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3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3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3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3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3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3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3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3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3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3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3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3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3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3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3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3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3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3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3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3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3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3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3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3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3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3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3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3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3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3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3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3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3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3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3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3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3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3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3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3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3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3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3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3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3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3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3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3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3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3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3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3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3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3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3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3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3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3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3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3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3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3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3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3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3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3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3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3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3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3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3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3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3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3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3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3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3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3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3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3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3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3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3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3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3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3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3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3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3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3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3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3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3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3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3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3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3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3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3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3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3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3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3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3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3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3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3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3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3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3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3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3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3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3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3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3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3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3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3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3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3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3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3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3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3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3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3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3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3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3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3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3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3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3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3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3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3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3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3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3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3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3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3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3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3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3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3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3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3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3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3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3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3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3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3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3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3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3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3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3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3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3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3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3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3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3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3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3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3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3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3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3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3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3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3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3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3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3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3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3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3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3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3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3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3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3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3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3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3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3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3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3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3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3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3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3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3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3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3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3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3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3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3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3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3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3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3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3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3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3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3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3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3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3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3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3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3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3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3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3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3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3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3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3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3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3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3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3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3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3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3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3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3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3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3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3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3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3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3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3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3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3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3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3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3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3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3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3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3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3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3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3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3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3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3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3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3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3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3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3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3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3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3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3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3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3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3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3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3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3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3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3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3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3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3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3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3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3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3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3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3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3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3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3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3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3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3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3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3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3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3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3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3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3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3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3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3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3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3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3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3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3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3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3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3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3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3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3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3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3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3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3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3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3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3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3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3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3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3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3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3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3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3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3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3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3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3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3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3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3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3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3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3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3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3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3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3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3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3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3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3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3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3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3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3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3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3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3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3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3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3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3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3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3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3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3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3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3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3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3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3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3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3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3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3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3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3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3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3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3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3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3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3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3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3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3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3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3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3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3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3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3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3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3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3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3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3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3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3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3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3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3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3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3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3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3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3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3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3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3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3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3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3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3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3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3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3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3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3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3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3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3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3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3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3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3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3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3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3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3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3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3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3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3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3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3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3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3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3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3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3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3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3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3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3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3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3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3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3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3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3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3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3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3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3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3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3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3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3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3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3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3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3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3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3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3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3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3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3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3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3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3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3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3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3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3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3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3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3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3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3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3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3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3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3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3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3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3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3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3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3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3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3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3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3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3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3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3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3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3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3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3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3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3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3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3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3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3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3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3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3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3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3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3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3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3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3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3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3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3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3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3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3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3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3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3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3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3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3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3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3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3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3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3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3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3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3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3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3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3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3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3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3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3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3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3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3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3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3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3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3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3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3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3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3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3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3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3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3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3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3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3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3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3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3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3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3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3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3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3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3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3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3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3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3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3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3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3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3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3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3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3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3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3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3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3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3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3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3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3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3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3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3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3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3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3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3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3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3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3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3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3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3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3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3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3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3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3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3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3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3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3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3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3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3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3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3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3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3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3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3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3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3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3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3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3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3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3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3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3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3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3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3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3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3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3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3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3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3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3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3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3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3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3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3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3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3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3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3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3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3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3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3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3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3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3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3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3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3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3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3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3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3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3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3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3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3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3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3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3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3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3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3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3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3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3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3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3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3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3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3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3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3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3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3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3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3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3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3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3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3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3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3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3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3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3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3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3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3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3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3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3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3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3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3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3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3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3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3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3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3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3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3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3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3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3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3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3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3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3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3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3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3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3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3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3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3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3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3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3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3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3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3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3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3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3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3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3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3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3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3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3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3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3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3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3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3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3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3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3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3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3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3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3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3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3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3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3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3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3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3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3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3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3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3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3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3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3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3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3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AV2:AV24008">
    <sortCondition ref="AV2:AV24008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E159"/>
  <sheetViews>
    <sheetView workbookViewId="0">
      <selection sqref="A1:A1048576"/>
    </sheetView>
  </sheetViews>
  <sheetFormatPr defaultRowHeight="16.2" x14ac:dyDescent="0.3"/>
  <sheetData>
    <row r="1" spans="1:31" x14ac:dyDescent="0.3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</row>
    <row r="2" spans="1:31" x14ac:dyDescent="0.3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</row>
    <row r="3" spans="1:31" x14ac:dyDescent="0.3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8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9">K2-K3</f>
        <v>0.17896211074145807</v>
      </c>
      <c r="M3">
        <f>SUM($L$2:L3)</f>
        <v>0.2176681706744259</v>
      </c>
      <c r="N3">
        <f t="shared" ref="N3:N20" si="10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1">$S$1-S3</f>
        <v>6.3840373000827455E-3</v>
      </c>
      <c r="U3">
        <f>SUM($T$2:T3)</f>
        <v>1.2012122308508566E-2</v>
      </c>
      <c r="V3">
        <f t="shared" ref="V3:V62" si="12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3">$AA$1-AA3</f>
        <v>5.2327880355316214E-2</v>
      </c>
      <c r="AC3">
        <f>SUM($AB$2:AB3)</f>
        <v>5.3895732173294242E-2</v>
      </c>
      <c r="AD3">
        <f t="shared" ref="AD3:AD66" si="14">AC3/AE3</f>
        <v>2.6947866086647121E-2</v>
      </c>
      <c r="AE3">
        <v>2</v>
      </c>
    </row>
    <row r="4" spans="1:31" x14ac:dyDescent="0.3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5">C3-C4</f>
        <v>2.8678972403560543E-2</v>
      </c>
      <c r="E4">
        <f>SUM($D$2:D4)</f>
        <v>0.6145835674157083</v>
      </c>
      <c r="F4">
        <f t="shared" si="8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9"/>
        <v>1.4425390577299968E-2</v>
      </c>
      <c r="M4">
        <f>SUM($L$2:L4)</f>
        <v>0.23209356125172587</v>
      </c>
      <c r="N4">
        <f t="shared" si="10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1"/>
        <v>1.4016825714714187E-2</v>
      </c>
      <c r="U4">
        <f>SUM($T$2:T4)</f>
        <v>2.6028948023222753E-2</v>
      </c>
      <c r="V4">
        <f t="shared" si="12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3"/>
        <v>8.8194781109844467E-2</v>
      </c>
      <c r="AC4">
        <f>SUM($AB$2:AB4)</f>
        <v>0.14209051328313871</v>
      </c>
      <c r="AD4">
        <f t="shared" si="14"/>
        <v>4.7363504427712901E-2</v>
      </c>
      <c r="AE4">
        <v>3</v>
      </c>
    </row>
    <row r="5" spans="1:31" x14ac:dyDescent="0.3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5"/>
        <v>0.34696399282407953</v>
      </c>
      <c r="E5">
        <f>SUM($D$2:D5)</f>
        <v>0.96154756023978782</v>
      </c>
      <c r="F5">
        <f t="shared" si="8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9"/>
        <v>0.35149379570830463</v>
      </c>
      <c r="M5">
        <f>SUM($L$2:L5)</f>
        <v>0.5835873569600305</v>
      </c>
      <c r="N5">
        <f t="shared" si="10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1"/>
        <v>2.3750412921847097E-2</v>
      </c>
      <c r="U5">
        <f>SUM($T$2:T5)</f>
        <v>4.977936094506985E-2</v>
      </c>
      <c r="V5">
        <f t="shared" si="12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3"/>
        <v>0.1231167013476413</v>
      </c>
      <c r="AC5">
        <f>SUM($AB$2:AB5)</f>
        <v>0.26520721463078001</v>
      </c>
      <c r="AD5">
        <f t="shared" si="14"/>
        <v>6.6301803657695002E-2</v>
      </c>
      <c r="AE5">
        <v>4</v>
      </c>
    </row>
    <row r="6" spans="1:31" x14ac:dyDescent="0.3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5"/>
        <v>0.30536706239435363</v>
      </c>
      <c r="E6">
        <f>SUM($D$2:D6)</f>
        <v>1.2669146226341415</v>
      </c>
      <c r="F6">
        <f t="shared" si="8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9"/>
        <v>0.45069031591721487</v>
      </c>
      <c r="M6">
        <f>SUM($L$2:L6)</f>
        <v>1.0342776728772454</v>
      </c>
      <c r="N6">
        <f t="shared" si="10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1"/>
        <v>3.2098664591487136E-2</v>
      </c>
      <c r="U6">
        <f>SUM($T$2:T6)</f>
        <v>8.1878025536556986E-2</v>
      </c>
      <c r="V6">
        <f t="shared" si="12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3"/>
        <v>0.13045116124660705</v>
      </c>
      <c r="AC6">
        <f>SUM($AB$2:AB6)</f>
        <v>0.39565837587738706</v>
      </c>
      <c r="AD6">
        <f t="shared" si="14"/>
        <v>7.9131675175477409E-2</v>
      </c>
      <c r="AE6">
        <v>5</v>
      </c>
    </row>
    <row r="7" spans="1:31" x14ac:dyDescent="0.3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5"/>
        <v>0.28089866175037681</v>
      </c>
      <c r="E7">
        <f>SUM($D$2:D7)</f>
        <v>1.5478132843845183</v>
      </c>
      <c r="F7">
        <f t="shared" si="8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9"/>
        <v>0.27457766029869246</v>
      </c>
      <c r="M7">
        <f>SUM($L$2:L7)</f>
        <v>1.3088553331759378</v>
      </c>
      <c r="N7">
        <f t="shared" si="10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1"/>
        <v>4.3073465728326266E-2</v>
      </c>
      <c r="U7">
        <f>SUM($T$2:T7)</f>
        <v>0.12495149126488325</v>
      </c>
      <c r="V7">
        <f t="shared" si="12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3"/>
        <v>0.14114861050249417</v>
      </c>
      <c r="AC7">
        <f>SUM($AB$2:AB7)</f>
        <v>0.53680698637988122</v>
      </c>
      <c r="AD7">
        <f t="shared" si="14"/>
        <v>8.9467831063313533E-2</v>
      </c>
      <c r="AE7">
        <v>6</v>
      </c>
    </row>
    <row r="8" spans="1:31" x14ac:dyDescent="0.3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5"/>
        <v>0.1745806680304427</v>
      </c>
      <c r="E8">
        <f>SUM($D$2:D8)</f>
        <v>1.722393952414961</v>
      </c>
      <c r="F8">
        <f t="shared" si="8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9"/>
        <v>0.21101790196467451</v>
      </c>
      <c r="M8">
        <f>SUM($L$2:L8)</f>
        <v>1.5198732351406123</v>
      </c>
      <c r="N8">
        <f t="shared" si="10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1"/>
        <v>5.9432217414137067E-2</v>
      </c>
      <c r="U8">
        <f>SUM($T$2:T8)</f>
        <v>0.18438370867902032</v>
      </c>
      <c r="V8">
        <f t="shared" si="12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3"/>
        <v>0.14223299179471383</v>
      </c>
      <c r="AC8">
        <f>SUM($AB$2:AB8)</f>
        <v>0.67903997817459505</v>
      </c>
      <c r="AD8">
        <f t="shared" si="14"/>
        <v>9.7005711167799297E-2</v>
      </c>
      <c r="AE8">
        <v>7</v>
      </c>
    </row>
    <row r="9" spans="1:31" x14ac:dyDescent="0.3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5"/>
        <v>0.18639121569549344</v>
      </c>
      <c r="E9">
        <f>SUM($D$2:D9)</f>
        <v>1.9087851681104544</v>
      </c>
      <c r="F9">
        <f t="shared" si="8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9"/>
        <v>0.25827801524303151</v>
      </c>
      <c r="M9">
        <f>SUM($L$2:L9)</f>
        <v>1.7781512503836439</v>
      </c>
      <c r="N9">
        <f t="shared" si="10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1"/>
        <v>6.7195384074666631E-2</v>
      </c>
      <c r="U9">
        <f>SUM($T$2:T9)</f>
        <v>0.25157909275368695</v>
      </c>
      <c r="V9">
        <f t="shared" si="12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3"/>
        <v>0.14223299179471383</v>
      </c>
      <c r="AC9">
        <f>SUM($AB$2:AB9)</f>
        <v>0.82127296996930887</v>
      </c>
      <c r="AD9">
        <f t="shared" si="14"/>
        <v>0.10265912124616361</v>
      </c>
      <c r="AE9">
        <v>8</v>
      </c>
    </row>
    <row r="10" spans="1:31" x14ac:dyDescent="0.3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5"/>
        <v>0.21609642072726487</v>
      </c>
      <c r="E10">
        <f>SUM($D$2:D10)</f>
        <v>2.1248815888377193</v>
      </c>
      <c r="F10">
        <f t="shared" si="8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9"/>
        <v>0.42596873227228094</v>
      </c>
      <c r="M10">
        <f>SUM($L$2:L10)</f>
        <v>2.204119982655925</v>
      </c>
      <c r="N10">
        <f t="shared" si="10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1"/>
        <v>9.2736301934780663E-2</v>
      </c>
      <c r="U10">
        <f>SUM($T$2:T10)</f>
        <v>0.34431539468846761</v>
      </c>
      <c r="V10">
        <f t="shared" si="12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3"/>
        <v>0.14223299179471383</v>
      </c>
      <c r="AC10">
        <f>SUM($AB$2:AB10)</f>
        <v>0.9635059617640227</v>
      </c>
      <c r="AD10">
        <f t="shared" si="14"/>
        <v>0.1070562179737803</v>
      </c>
      <c r="AE10">
        <v>9</v>
      </c>
    </row>
    <row r="11" spans="1:31" x14ac:dyDescent="0.3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5"/>
        <v>8.1473042827209685E-2</v>
      </c>
      <c r="E11">
        <f>SUM($D$2:D11)</f>
        <v>2.206354631664929</v>
      </c>
      <c r="F11">
        <f t="shared" si="8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9"/>
        <v>0.41912930774197577</v>
      </c>
      <c r="M11">
        <f>SUM($L$2:L11)</f>
        <v>2.6232492903979008</v>
      </c>
      <c r="N11">
        <f t="shared" si="10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1"/>
        <v>0.1063310870336216</v>
      </c>
      <c r="U11">
        <f>SUM($T$2:T11)</f>
        <v>0.45064648172208921</v>
      </c>
      <c r="V11">
        <f t="shared" si="12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3"/>
        <v>0.14659779719716415</v>
      </c>
      <c r="AC11">
        <f>SUM($AB$2:AB11)</f>
        <v>1.1101037589611868</v>
      </c>
      <c r="AD11">
        <f t="shared" si="14"/>
        <v>0.11101037589611869</v>
      </c>
      <c r="AE11">
        <v>10</v>
      </c>
    </row>
    <row r="12" spans="1:31" x14ac:dyDescent="0.3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5"/>
        <v>0.13658271777200759</v>
      </c>
      <c r="E12">
        <f>SUM($D$2:D12)</f>
        <v>2.3429373494369363</v>
      </c>
      <c r="F12">
        <f t="shared" si="8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9"/>
        <v>2.8028723600243444E-2</v>
      </c>
      <c r="M12">
        <f>SUM($L$2:L12)</f>
        <v>2.6512780139981444</v>
      </c>
      <c r="N12">
        <f t="shared" si="10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1"/>
        <v>0.10728453304094421</v>
      </c>
      <c r="U12">
        <f>SUM($T$2:T12)</f>
        <v>0.55793101476303342</v>
      </c>
      <c r="V12">
        <f t="shared" si="12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3"/>
        <v>0.14990043274724973</v>
      </c>
      <c r="AC12">
        <f>SUM($AB$2:AB12)</f>
        <v>1.2600041917084366</v>
      </c>
      <c r="AD12">
        <f t="shared" si="14"/>
        <v>0.11454583560985787</v>
      </c>
      <c r="AE12">
        <v>11</v>
      </c>
    </row>
    <row r="13" spans="1:31" x14ac:dyDescent="0.3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5"/>
        <v>9.455610761457911E-2</v>
      </c>
      <c r="E13">
        <f>SUM($D$2:D13)</f>
        <v>2.4374934570515157</v>
      </c>
      <c r="F13">
        <f t="shared" si="8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9"/>
        <v>6.2147906748844628E-2</v>
      </c>
      <c r="M13">
        <f>SUM($L$2:L13)</f>
        <v>2.7134259207469889</v>
      </c>
      <c r="N13">
        <f t="shared" si="10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1"/>
        <v>0.13946921641234544</v>
      </c>
      <c r="U13">
        <f>SUM($T$2:T13)</f>
        <v>0.69740023117537886</v>
      </c>
      <c r="V13">
        <f t="shared" si="12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3"/>
        <v>0.15100691610221917</v>
      </c>
      <c r="AC13">
        <f>SUM($AB$2:AB13)</f>
        <v>1.4110111078106558</v>
      </c>
      <c r="AD13">
        <f t="shared" si="14"/>
        <v>0.11758425898422131</v>
      </c>
      <c r="AE13">
        <v>12</v>
      </c>
    </row>
    <row r="14" spans="1:31" x14ac:dyDescent="0.3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5"/>
        <v>0.1058037261680389</v>
      </c>
      <c r="E14">
        <f>SUM($D$2:D14)</f>
        <v>2.5432971832195546</v>
      </c>
      <c r="F14">
        <f t="shared" si="8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9"/>
        <v>0.11394335230683672</v>
      </c>
      <c r="M14">
        <f>SUM($L$2:L14)</f>
        <v>2.8273692730538258</v>
      </c>
      <c r="N14">
        <f t="shared" si="10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1"/>
        <v>0.15945239063996741</v>
      </c>
      <c r="U14">
        <f>SUM($T$2:T14)</f>
        <v>0.85685262181534627</v>
      </c>
      <c r="V14">
        <f t="shared" si="12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3"/>
        <v>0.15770567845092121</v>
      </c>
      <c r="AC14">
        <f>SUM($AB$2:AB14)</f>
        <v>1.568716786261577</v>
      </c>
      <c r="AD14">
        <f t="shared" si="14"/>
        <v>0.12067052202012131</v>
      </c>
      <c r="AE14">
        <v>13</v>
      </c>
    </row>
    <row r="15" spans="1:31" x14ac:dyDescent="0.3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5"/>
        <v>0.18364439694612722</v>
      </c>
      <c r="E15">
        <f>SUM($D$2:D15)</f>
        <v>2.7269415801656818</v>
      </c>
      <c r="F15">
        <f t="shared" si="8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9"/>
        <v>0.30102999566398114</v>
      </c>
      <c r="M15">
        <f>SUM($L$2:L15)</f>
        <v>3.128399268717807</v>
      </c>
      <c r="N15">
        <f t="shared" si="10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1"/>
        <v>0.16432303401130799</v>
      </c>
      <c r="U15">
        <f>SUM($T$2:T15)</f>
        <v>1.0211756558266543</v>
      </c>
      <c r="V15">
        <f t="shared" si="12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3"/>
        <v>0.16222962021096743</v>
      </c>
      <c r="AC15">
        <f>SUM($AB$2:AB15)</f>
        <v>1.7309464064725444</v>
      </c>
      <c r="AD15">
        <f t="shared" si="14"/>
        <v>0.12363902903375316</v>
      </c>
      <c r="AE15">
        <v>14</v>
      </c>
    </row>
    <row r="16" spans="1:31" x14ac:dyDescent="0.3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5"/>
        <v>0</v>
      </c>
      <c r="E16">
        <f>SUM($D$2:D16)</f>
        <v>2.7269415801656818</v>
      </c>
      <c r="F16">
        <f t="shared" si="8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9"/>
        <v>9.6910013008056461E-2</v>
      </c>
      <c r="M16">
        <f>SUM($L$2:L16)</f>
        <v>3.2253092817258633</v>
      </c>
      <c r="N16">
        <f t="shared" si="10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1"/>
        <v>0.21201988356095702</v>
      </c>
      <c r="U16">
        <f>SUM($T$2:T16)</f>
        <v>1.2331955393876113</v>
      </c>
      <c r="V16">
        <f t="shared" si="12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3"/>
        <v>0.16222962021096743</v>
      </c>
      <c r="AC16">
        <f>SUM($AB$2:AB16)</f>
        <v>1.8931760266835118</v>
      </c>
      <c r="AD16">
        <f t="shared" si="14"/>
        <v>0.12621173511223413</v>
      </c>
      <c r="AE16">
        <v>15</v>
      </c>
    </row>
    <row r="17" spans="1:31" x14ac:dyDescent="0.3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5"/>
        <v>4.8304679574554976E-2</v>
      </c>
      <c r="E17">
        <f>SUM($D$2:D17)</f>
        <v>2.7752462597402365</v>
      </c>
      <c r="F17">
        <f t="shared" si="8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9"/>
        <v>0</v>
      </c>
      <c r="M17">
        <f>SUM($L$2:L17)</f>
        <v>3.2253092817258633</v>
      </c>
      <c r="N17">
        <f t="shared" si="10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1"/>
        <v>0.23509623149497427</v>
      </c>
      <c r="U17">
        <f>SUM($T$2:T17)</f>
        <v>1.4682917708825856</v>
      </c>
      <c r="V17">
        <f t="shared" si="12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3"/>
        <v>0.16336800744705693</v>
      </c>
      <c r="AC17">
        <f>SUM($AB$2:AB17)</f>
        <v>2.0565440341305687</v>
      </c>
      <c r="AD17">
        <f t="shared" si="14"/>
        <v>0.12853400213316055</v>
      </c>
      <c r="AE17">
        <v>16</v>
      </c>
    </row>
    <row r="18" spans="1:31" x14ac:dyDescent="0.3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5"/>
        <v>0.32735893438633035</v>
      </c>
      <c r="E18">
        <f>SUM($D$2:D18)</f>
        <v>3.1026051941265669</v>
      </c>
      <c r="F18">
        <f t="shared" si="8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9"/>
        <v>0.6020599913279624</v>
      </c>
      <c r="M18">
        <f>SUM($L$2:L18)</f>
        <v>3.8273692730538258</v>
      </c>
      <c r="N18">
        <f t="shared" si="10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1"/>
        <v>0.25676621072677008</v>
      </c>
      <c r="U18">
        <f>SUM($T$2:T18)</f>
        <v>1.7250579816093556</v>
      </c>
      <c r="V18">
        <f t="shared" si="12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3"/>
        <v>0.17258415131398852</v>
      </c>
      <c r="AC18">
        <f>SUM($AB$2:AB18)</f>
        <v>2.2291281854445573</v>
      </c>
      <c r="AD18">
        <f t="shared" si="14"/>
        <v>0.1311251873790916</v>
      </c>
      <c r="AE18">
        <v>17</v>
      </c>
    </row>
    <row r="19" spans="1:31" x14ac:dyDescent="0.3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5"/>
        <v>0</v>
      </c>
      <c r="E19">
        <f>SUM($D$2:D19)</f>
        <v>3.1026051941265669</v>
      </c>
      <c r="F19">
        <f t="shared" si="8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9"/>
        <v>0</v>
      </c>
      <c r="M19">
        <f>SUM($L$2:L19)</f>
        <v>3.8273692730538258</v>
      </c>
      <c r="N19">
        <f t="shared" si="10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1"/>
        <v>0.29768782411442318</v>
      </c>
      <c r="U19">
        <f>SUM($T$2:T19)</f>
        <v>2.0227458057237788</v>
      </c>
      <c r="V19">
        <f t="shared" si="12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3"/>
        <v>0.17726661696361612</v>
      </c>
      <c r="AC19">
        <f>SUM($AB$2:AB19)</f>
        <v>2.4063948024081734</v>
      </c>
      <c r="AD19">
        <f t="shared" si="14"/>
        <v>0.13368860013378742</v>
      </c>
      <c r="AE19">
        <v>18</v>
      </c>
    </row>
    <row r="20" spans="1:31" x14ac:dyDescent="0.3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5"/>
        <v>5.7991946977686726E-2</v>
      </c>
      <c r="E20">
        <f>SUM($D$2:D20)</f>
        <v>3.1605971411042537</v>
      </c>
      <c r="F20">
        <f t="shared" si="8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9"/>
        <v>0</v>
      </c>
      <c r="M20">
        <f>SUM($L$2:L20)</f>
        <v>3.8273692730538258</v>
      </c>
      <c r="N20">
        <f t="shared" si="10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1"/>
        <v>0.33232663882365054</v>
      </c>
      <c r="U20">
        <f>SUM($T$2:T20)</f>
        <v>2.3550724445474294</v>
      </c>
      <c r="V20">
        <f t="shared" si="12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3"/>
        <v>0.17726661696361612</v>
      </c>
      <c r="AC20">
        <f>SUM($AB$2:AB20)</f>
        <v>2.5836614193717895</v>
      </c>
      <c r="AD20">
        <f t="shared" si="14"/>
        <v>0.13598217996693629</v>
      </c>
      <c r="AE20">
        <v>19</v>
      </c>
    </row>
    <row r="21" spans="1:31" x14ac:dyDescent="0.3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5"/>
        <v>6.6946789630613179E-2</v>
      </c>
      <c r="E21">
        <f>SUM($D$2:D21)</f>
        <v>3.2275439307348668</v>
      </c>
      <c r="F21">
        <f t="shared" si="8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1"/>
        <v>0.3841808489882057</v>
      </c>
      <c r="U21">
        <f>SUM($T$2:T21)</f>
        <v>2.7392532935356351</v>
      </c>
      <c r="V21">
        <f t="shared" si="12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3"/>
        <v>0.1784451644491587</v>
      </c>
      <c r="AC21">
        <f>SUM($AB$2:AB21)</f>
        <v>2.7621065838209482</v>
      </c>
      <c r="AD21">
        <f t="shared" si="14"/>
        <v>0.1381053291910474</v>
      </c>
      <c r="AE21">
        <v>20</v>
      </c>
    </row>
    <row r="22" spans="1:31" x14ac:dyDescent="0.3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5"/>
        <v>0</v>
      </c>
      <c r="E22">
        <f>SUM($D$2:D22)</f>
        <v>3.2275439307348668</v>
      </c>
      <c r="F22">
        <f t="shared" si="8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1"/>
        <v>0.39608007228791342</v>
      </c>
      <c r="U22">
        <f>SUM($T$2:T22)</f>
        <v>3.1353333658235485</v>
      </c>
      <c r="V22">
        <f t="shared" si="12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3"/>
        <v>0.18919853454435698</v>
      </c>
      <c r="AC22">
        <f>SUM($AB$2:AB22)</f>
        <v>2.9513051183653052</v>
      </c>
      <c r="AD22">
        <f t="shared" si="14"/>
        <v>0.14053833896977644</v>
      </c>
      <c r="AE22">
        <v>21</v>
      </c>
    </row>
    <row r="23" spans="1:31" x14ac:dyDescent="0.3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5"/>
        <v>7.9181246047624776E-2</v>
      </c>
      <c r="E23">
        <f>SUM($D$2:D23)</f>
        <v>3.3067251767824914</v>
      </c>
      <c r="F23">
        <f t="shared" si="8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1"/>
        <v>0.42090365601294577</v>
      </c>
      <c r="U23">
        <f>SUM($T$2:T23)</f>
        <v>3.5562370218364943</v>
      </c>
      <c r="V23">
        <f t="shared" si="12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3"/>
        <v>0.19284298514980103</v>
      </c>
      <c r="AC23">
        <f>SUM($AB$2:AB23)</f>
        <v>3.1441481035151062</v>
      </c>
      <c r="AD23">
        <f t="shared" si="14"/>
        <v>0.14291582288705029</v>
      </c>
      <c r="AE23">
        <v>22</v>
      </c>
    </row>
    <row r="24" spans="1:31" x14ac:dyDescent="0.3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5"/>
        <v>9.6910013008056461E-2</v>
      </c>
      <c r="E24">
        <f>SUM($D$2:D24)</f>
        <v>3.4036351897905481</v>
      </c>
      <c r="F24">
        <f t="shared" si="8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1"/>
        <v>0.45994456025143249</v>
      </c>
      <c r="U24">
        <f>SUM($T$2:T24)</f>
        <v>4.0161815820879267</v>
      </c>
      <c r="V24">
        <f t="shared" si="12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3"/>
        <v>0.20146755616349665</v>
      </c>
      <c r="AC24">
        <f>SUM($AB$2:AB24)</f>
        <v>3.3456156596786029</v>
      </c>
      <c r="AD24">
        <f t="shared" si="14"/>
        <v>0.14546155042080883</v>
      </c>
      <c r="AE24">
        <v>23</v>
      </c>
    </row>
    <row r="25" spans="1:31" x14ac:dyDescent="0.3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5"/>
        <v>0</v>
      </c>
      <c r="E25">
        <f>SUM($D$2:D25)</f>
        <v>3.4036351897905481</v>
      </c>
      <c r="F25">
        <f t="shared" si="8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1"/>
        <v>0.46644285328835</v>
      </c>
      <c r="U25">
        <f>SUM($T$2:T25)</f>
        <v>4.4826244353762768</v>
      </c>
      <c r="V25">
        <f t="shared" si="12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3"/>
        <v>0.23509046079157336</v>
      </c>
      <c r="AC25">
        <f>SUM($AB$2:AB25)</f>
        <v>3.5807061204701762</v>
      </c>
      <c r="AD25">
        <f t="shared" si="14"/>
        <v>0.149196088352924</v>
      </c>
      <c r="AE25">
        <v>24</v>
      </c>
    </row>
    <row r="26" spans="1:31" x14ac:dyDescent="0.3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5"/>
        <v>0.3010299956639812</v>
      </c>
      <c r="E26">
        <f>SUM($D$2:D26)</f>
        <v>3.7046651854545294</v>
      </c>
      <c r="F26">
        <f t="shared" si="8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1"/>
        <v>0.49345432316155735</v>
      </c>
      <c r="U26">
        <f>SUM($T$2:T26)</f>
        <v>4.9760787585378345</v>
      </c>
      <c r="V26">
        <f t="shared" si="12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3"/>
        <v>0.23914300480277051</v>
      </c>
      <c r="AC26">
        <f>SUM($AB$2:AB26)</f>
        <v>3.8198491252729467</v>
      </c>
      <c r="AD26">
        <f t="shared" si="14"/>
        <v>0.15279396501091788</v>
      </c>
      <c r="AE26">
        <v>25</v>
      </c>
    </row>
    <row r="27" spans="1:31" x14ac:dyDescent="0.3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5"/>
        <v>0</v>
      </c>
      <c r="E27">
        <f>SUM($D$2:D27)</f>
        <v>3.7046651854545294</v>
      </c>
      <c r="F27">
        <f t="shared" si="8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1"/>
        <v>0.53229981930590275</v>
      </c>
      <c r="U27">
        <f>SUM($T$2:T27)</f>
        <v>5.5083785778437377</v>
      </c>
      <c r="V27">
        <f t="shared" si="12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3"/>
        <v>0.248748645576228</v>
      </c>
      <c r="AC27">
        <f>SUM($AB$2:AB27)</f>
        <v>4.0685977708491752</v>
      </c>
      <c r="AD27">
        <f t="shared" si="14"/>
        <v>0.15648452964804521</v>
      </c>
      <c r="AE27">
        <v>26</v>
      </c>
    </row>
    <row r="28" spans="1:31" x14ac:dyDescent="0.3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5"/>
        <v>0</v>
      </c>
      <c r="E28">
        <f>SUM($D$2:D28)</f>
        <v>3.7046651854545294</v>
      </c>
      <c r="F28">
        <f t="shared" si="8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1"/>
        <v>0.54388169185571789</v>
      </c>
      <c r="U28">
        <f>SUM($T$2:T28)</f>
        <v>6.0522602696994561</v>
      </c>
      <c r="V28">
        <f t="shared" si="12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3"/>
        <v>0.25013838910423347</v>
      </c>
      <c r="AC28">
        <f>SUM($AB$2:AB28)</f>
        <v>4.3187361599534082</v>
      </c>
      <c r="AD28">
        <f t="shared" si="14"/>
        <v>0.1599531911093855</v>
      </c>
      <c r="AE28">
        <v>27</v>
      </c>
    </row>
    <row r="29" spans="1:31" x14ac:dyDescent="0.3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5"/>
        <v>0</v>
      </c>
      <c r="E29">
        <f>SUM($D$2:D29)</f>
        <v>3.7046651854545294</v>
      </c>
      <c r="F29">
        <f t="shared" si="8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1"/>
        <v>0.57356553633520013</v>
      </c>
      <c r="U29">
        <f>SUM($T$2:T29)</f>
        <v>6.6258258060346567</v>
      </c>
      <c r="V29">
        <f t="shared" si="12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3"/>
        <v>0.25433450369784172</v>
      </c>
      <c r="AC29">
        <f>SUM($AB$2:AB29)</f>
        <v>4.5730706636512499</v>
      </c>
      <c r="AD29">
        <f t="shared" si="14"/>
        <v>0.16332395227325894</v>
      </c>
      <c r="AE29">
        <v>28</v>
      </c>
    </row>
    <row r="30" spans="1:31" x14ac:dyDescent="0.3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5"/>
        <v>0</v>
      </c>
      <c r="E30">
        <f>SUM($D$2:D30)</f>
        <v>3.7046651854545294</v>
      </c>
      <c r="F30">
        <f t="shared" si="8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1"/>
        <v>0.59356947604482535</v>
      </c>
      <c r="U30">
        <f>SUM($T$2:T30)</f>
        <v>7.219395282079482</v>
      </c>
      <c r="V30">
        <f t="shared" si="12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3"/>
        <v>0.25433450369784172</v>
      </c>
      <c r="AC30">
        <f>SUM($AB$2:AB30)</f>
        <v>4.8274051673490916</v>
      </c>
      <c r="AD30">
        <f t="shared" si="14"/>
        <v>0.16646224714996868</v>
      </c>
      <c r="AE30">
        <v>29</v>
      </c>
    </row>
    <row r="31" spans="1:31" x14ac:dyDescent="0.3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5"/>
        <v>0</v>
      </c>
      <c r="E31">
        <f>SUM($D$2:D31)</f>
        <v>3.7046651854545294</v>
      </c>
      <c r="F31">
        <f t="shared" si="8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1"/>
        <v>0.62699323153177478</v>
      </c>
      <c r="U31">
        <f>SUM($T$2:T31)</f>
        <v>7.8463885136112568</v>
      </c>
      <c r="V31">
        <f t="shared" si="12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3"/>
        <v>0.26428604016552582</v>
      </c>
      <c r="AC31">
        <f>SUM($AB$2:AB31)</f>
        <v>5.0916912075146179</v>
      </c>
      <c r="AD31">
        <f t="shared" si="14"/>
        <v>0.16972304025048726</v>
      </c>
      <c r="AE31">
        <v>30</v>
      </c>
    </row>
    <row r="32" spans="1:31" x14ac:dyDescent="0.3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5"/>
        <v>0</v>
      </c>
      <c r="E32">
        <f>SUM($D$2:D32)</f>
        <v>3.7046651854545294</v>
      </c>
      <c r="F32">
        <f t="shared" si="8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1"/>
        <v>0.68251055938160654</v>
      </c>
      <c r="U32">
        <f>SUM($T$2:T32)</f>
        <v>8.5288990729928642</v>
      </c>
      <c r="V32">
        <f t="shared" si="12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3"/>
        <v>0.27594565271051907</v>
      </c>
      <c r="AC32">
        <f>SUM($AB$2:AB32)</f>
        <v>5.3676368602251365</v>
      </c>
      <c r="AD32">
        <f t="shared" si="14"/>
        <v>0.17314957613629472</v>
      </c>
      <c r="AE32">
        <v>31</v>
      </c>
    </row>
    <row r="33" spans="1:31" x14ac:dyDescent="0.3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5"/>
        <v>0</v>
      </c>
      <c r="E33">
        <f>SUM($D$2:D33)</f>
        <v>3.7046651854545294</v>
      </c>
      <c r="F33">
        <f t="shared" si="8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1"/>
        <v>0.68251055938160654</v>
      </c>
      <c r="U33">
        <f>SUM($T$2:T33)</f>
        <v>9.2114096323744707</v>
      </c>
      <c r="V33">
        <f t="shared" si="12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3"/>
        <v>0.28189498522372025</v>
      </c>
      <c r="AC33">
        <f>SUM($AB$2:AB33)</f>
        <v>5.6495318454488572</v>
      </c>
      <c r="AD33">
        <f t="shared" si="14"/>
        <v>0.17654787017027679</v>
      </c>
      <c r="AE33">
        <v>32</v>
      </c>
    </row>
    <row r="34" spans="1:31" x14ac:dyDescent="0.3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5"/>
        <v>0</v>
      </c>
      <c r="E34">
        <f>SUM($D$2:D34)</f>
        <v>3.7046651854545294</v>
      </c>
      <c r="F34">
        <f t="shared" si="8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1"/>
        <v>0.85950004933018809</v>
      </c>
      <c r="U34">
        <f>SUM($T$2:T34)</f>
        <v>10.070909681704659</v>
      </c>
      <c r="V34">
        <f t="shared" si="12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3"/>
        <v>0.2940438748033154</v>
      </c>
      <c r="AC34">
        <f>SUM($AB$2:AB34)</f>
        <v>5.9435757202521726</v>
      </c>
      <c r="AD34">
        <f t="shared" si="14"/>
        <v>0.18010835515915674</v>
      </c>
      <c r="AE34">
        <v>33</v>
      </c>
    </row>
    <row r="35" spans="1:31" x14ac:dyDescent="0.3">
      <c r="A35">
        <v>1</v>
      </c>
      <c r="B35">
        <f t="shared" si="0"/>
        <v>9.8697196999605207E-5</v>
      </c>
      <c r="C35">
        <f t="shared" si="1"/>
        <v>0</v>
      </c>
      <c r="D35">
        <f t="shared" si="15"/>
        <v>0.3010299956639812</v>
      </c>
      <c r="E35">
        <f>SUM($D$2:D35)</f>
        <v>4.0056951811185106</v>
      </c>
      <c r="F35">
        <f t="shared" si="8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1"/>
        <v>0.87880520452557453</v>
      </c>
      <c r="U35">
        <f>SUM($T$2:T35)</f>
        <v>10.949714886230234</v>
      </c>
      <c r="V35">
        <f t="shared" si="12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3"/>
        <v>0.2971349517804569</v>
      </c>
      <c r="AC35">
        <f>SUM($AB$2:AB35)</f>
        <v>6.2407106720326295</v>
      </c>
      <c r="AD35">
        <f t="shared" si="14"/>
        <v>0.18355031388331264</v>
      </c>
      <c r="AE35">
        <v>34</v>
      </c>
    </row>
    <row r="36" spans="1:31" x14ac:dyDescent="0.3">
      <c r="A36">
        <v>1</v>
      </c>
      <c r="B36">
        <f t="shared" si="0"/>
        <v>9.8697196999605207E-5</v>
      </c>
      <c r="C36">
        <f t="shared" si="1"/>
        <v>0</v>
      </c>
      <c r="D36">
        <f t="shared" si="15"/>
        <v>0</v>
      </c>
      <c r="E36">
        <f>SUM($D$2:D36)</f>
        <v>4.0056951811185106</v>
      </c>
      <c r="F36">
        <f t="shared" si="8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1"/>
        <v>0.89900859061386162</v>
      </c>
      <c r="U36">
        <f>SUM($T$2:T36)</f>
        <v>11.848723476844096</v>
      </c>
      <c r="V36">
        <f t="shared" si="12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3"/>
        <v>0.3033839010574586</v>
      </c>
      <c r="AC36">
        <f>SUM($AB$2:AB36)</f>
        <v>6.5440945730900886</v>
      </c>
      <c r="AD36">
        <f t="shared" si="14"/>
        <v>0.18697413065971683</v>
      </c>
      <c r="AE36">
        <v>35</v>
      </c>
    </row>
    <row r="37" spans="1:31" x14ac:dyDescent="0.3">
      <c r="A37">
        <v>1</v>
      </c>
      <c r="B37">
        <f t="shared" si="0"/>
        <v>9.8697196999605207E-5</v>
      </c>
      <c r="C37">
        <f t="shared" si="1"/>
        <v>0</v>
      </c>
      <c r="D37">
        <f t="shared" si="15"/>
        <v>0</v>
      </c>
      <c r="E37">
        <f>SUM($D$2:D37)</f>
        <v>4.0056951811185106</v>
      </c>
      <c r="F37">
        <f t="shared" si="8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1"/>
        <v>1.0410200600972672</v>
      </c>
      <c r="U37">
        <f>SUM($T$2:T37)</f>
        <v>12.889743536941364</v>
      </c>
      <c r="V37">
        <f t="shared" si="12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3"/>
        <v>0.3033839010574586</v>
      </c>
      <c r="AC37">
        <f>SUM($AB$2:AB37)</f>
        <v>6.8474784741475467</v>
      </c>
      <c r="AD37">
        <f t="shared" si="14"/>
        <v>0.19020773539298741</v>
      </c>
      <c r="AE37">
        <v>36</v>
      </c>
    </row>
    <row r="38" spans="1:31" x14ac:dyDescent="0.3">
      <c r="A38">
        <v>1</v>
      </c>
      <c r="B38">
        <f t="shared" si="0"/>
        <v>9.8697196999605207E-5</v>
      </c>
      <c r="C38">
        <f t="shared" si="1"/>
        <v>0</v>
      </c>
      <c r="D38">
        <f t="shared" si="15"/>
        <v>0</v>
      </c>
      <c r="E38">
        <f>SUM($D$2:D38)</f>
        <v>4.0056951811185106</v>
      </c>
      <c r="F38">
        <f t="shared" si="8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1"/>
        <v>1.0410200600972672</v>
      </c>
      <c r="U38">
        <f>SUM($T$2:T38)</f>
        <v>13.930763597038631</v>
      </c>
      <c r="V38">
        <f t="shared" si="12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3"/>
        <v>0.30496028929241348</v>
      </c>
      <c r="AC38">
        <f>SUM($AB$2:AB38)</f>
        <v>7.1524387634399602</v>
      </c>
      <c r="AD38">
        <f t="shared" si="14"/>
        <v>0.19330915576864757</v>
      </c>
      <c r="AE38">
        <v>37</v>
      </c>
    </row>
    <row r="39" spans="1:31" x14ac:dyDescent="0.3">
      <c r="A39">
        <v>1</v>
      </c>
      <c r="B39">
        <f t="shared" si="0"/>
        <v>9.8697196999605207E-5</v>
      </c>
      <c r="C39">
        <f t="shared" si="1"/>
        <v>0</v>
      </c>
      <c r="D39">
        <f t="shared" si="15"/>
        <v>0</v>
      </c>
      <c r="E39">
        <f>SUM($D$2:D39)</f>
        <v>4.0056951811185106</v>
      </c>
      <c r="F39">
        <f t="shared" si="8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1"/>
        <v>1.2402511226612112</v>
      </c>
      <c r="U39">
        <f>SUM($T$2:T39)</f>
        <v>15.171014719699842</v>
      </c>
      <c r="V39">
        <f t="shared" si="12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3"/>
        <v>0.3065424203022884</v>
      </c>
      <c r="AC39">
        <f>SUM($AB$2:AB39)</f>
        <v>7.4589811837422486</v>
      </c>
      <c r="AD39">
        <f t="shared" si="14"/>
        <v>0.19628897851953286</v>
      </c>
      <c r="AE39">
        <v>38</v>
      </c>
    </row>
    <row r="40" spans="1:31" x14ac:dyDescent="0.3">
      <c r="A40">
        <v>1</v>
      </c>
      <c r="B40">
        <f t="shared" si="0"/>
        <v>9.8697196999605207E-5</v>
      </c>
      <c r="C40">
        <f t="shared" si="1"/>
        <v>0</v>
      </c>
      <c r="D40">
        <f t="shared" si="15"/>
        <v>0</v>
      </c>
      <c r="E40">
        <f>SUM($D$2:D40)</f>
        <v>4.0056951811185106</v>
      </c>
      <c r="F40">
        <f t="shared" si="8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1"/>
        <v>1.3104510696895462</v>
      </c>
      <c r="U40">
        <f>SUM($T$2:T40)</f>
        <v>16.481465789389389</v>
      </c>
      <c r="V40">
        <f t="shared" si="12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3"/>
        <v>0.3065424203022884</v>
      </c>
      <c r="AC40">
        <f>SUM($AB$2:AB40)</f>
        <v>7.765523604044537</v>
      </c>
      <c r="AD40">
        <f t="shared" si="14"/>
        <v>0.19911598984729581</v>
      </c>
      <c r="AE40">
        <v>39</v>
      </c>
    </row>
    <row r="41" spans="1:31" x14ac:dyDescent="0.3">
      <c r="A41">
        <v>1</v>
      </c>
      <c r="B41">
        <f t="shared" si="0"/>
        <v>9.8697196999605207E-5</v>
      </c>
      <c r="C41">
        <f t="shared" si="1"/>
        <v>0</v>
      </c>
      <c r="D41">
        <f t="shared" si="15"/>
        <v>0</v>
      </c>
      <c r="E41">
        <f>SUM($D$2:D41)</f>
        <v>4.0056951811185106</v>
      </c>
      <c r="F41">
        <f t="shared" si="8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1"/>
        <v>1.333932165539069</v>
      </c>
      <c r="U41">
        <f>SUM($T$2:T41)</f>
        <v>17.815397954928457</v>
      </c>
      <c r="V41">
        <f t="shared" si="12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3"/>
        <v>0.3065424203022884</v>
      </c>
      <c r="AC41">
        <f>SUM($AB$2:AB41)</f>
        <v>8.0720660243468245</v>
      </c>
      <c r="AD41">
        <f t="shared" si="14"/>
        <v>0.20180165060867061</v>
      </c>
      <c r="AE41">
        <v>40</v>
      </c>
    </row>
    <row r="42" spans="1:31" x14ac:dyDescent="0.3">
      <c r="A42">
        <v>1</v>
      </c>
      <c r="B42">
        <f t="shared" si="0"/>
        <v>9.8697196999605207E-5</v>
      </c>
      <c r="C42">
        <f t="shared" si="1"/>
        <v>0</v>
      </c>
      <c r="D42">
        <f t="shared" si="15"/>
        <v>0</v>
      </c>
      <c r="E42">
        <f>SUM($D$2:D42)</f>
        <v>4.0056951811185106</v>
      </c>
      <c r="F42">
        <f t="shared" si="8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1"/>
        <v>1.3503225817272384</v>
      </c>
      <c r="U42">
        <f>SUM($T$2:T42)</f>
        <v>19.165720536655694</v>
      </c>
      <c r="V42">
        <f t="shared" si="12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3"/>
        <v>0.30972407908847766</v>
      </c>
      <c r="AC42">
        <f>SUM($AB$2:AB42)</f>
        <v>8.3817901034353017</v>
      </c>
      <c r="AD42">
        <f t="shared" si="14"/>
        <v>0.20443390496183664</v>
      </c>
      <c r="AE42">
        <v>41</v>
      </c>
    </row>
    <row r="43" spans="1:31" x14ac:dyDescent="0.3">
      <c r="A43">
        <v>1</v>
      </c>
      <c r="B43">
        <f t="shared" si="0"/>
        <v>9.8697196999605207E-5</v>
      </c>
      <c r="C43">
        <f t="shared" si="1"/>
        <v>0</v>
      </c>
      <c r="D43">
        <f t="shared" si="15"/>
        <v>0</v>
      </c>
      <c r="E43">
        <f>SUM($D$2:D43)</f>
        <v>4.0056951811185106</v>
      </c>
      <c r="F43">
        <f t="shared" si="8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1"/>
        <v>1.3587557492641014</v>
      </c>
      <c r="U43">
        <f>SUM($T$2:T43)</f>
        <v>20.524476285919796</v>
      </c>
      <c r="V43">
        <f t="shared" si="12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3"/>
        <v>0.3113236922482705</v>
      </c>
      <c r="AC43">
        <f>SUM($AB$2:AB43)</f>
        <v>8.6931137956835727</v>
      </c>
      <c r="AD43">
        <f t="shared" si="14"/>
        <v>0.20697889989722792</v>
      </c>
      <c r="AE43">
        <v>42</v>
      </c>
    </row>
    <row r="44" spans="1:31" x14ac:dyDescent="0.3">
      <c r="A44">
        <v>1</v>
      </c>
      <c r="B44">
        <f t="shared" si="0"/>
        <v>9.8697196999605207E-5</v>
      </c>
      <c r="C44">
        <f t="shared" si="1"/>
        <v>0</v>
      </c>
      <c r="D44">
        <f t="shared" si="15"/>
        <v>0</v>
      </c>
      <c r="E44">
        <f>SUM($D$2:D44)</f>
        <v>4.0056951811185106</v>
      </c>
      <c r="F44">
        <f t="shared" si="8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1"/>
        <v>1.4035680936804635</v>
      </c>
      <c r="U44">
        <f>SUM($T$2:T44)</f>
        <v>21.928044379600259</v>
      </c>
      <c r="V44">
        <f t="shared" si="12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3"/>
        <v>0.31941134649160929</v>
      </c>
      <c r="AC44">
        <f>SUM($AB$2:AB44)</f>
        <v>9.012525142175182</v>
      </c>
      <c r="AD44">
        <f t="shared" si="14"/>
        <v>0.20959360795756238</v>
      </c>
      <c r="AE44">
        <v>43</v>
      </c>
    </row>
    <row r="45" spans="1:31" x14ac:dyDescent="0.3">
      <c r="A45">
        <v>1</v>
      </c>
      <c r="B45">
        <f t="shared" si="0"/>
        <v>9.8697196999605207E-5</v>
      </c>
      <c r="C45">
        <f t="shared" si="1"/>
        <v>0</v>
      </c>
      <c r="D45">
        <f t="shared" si="15"/>
        <v>0</v>
      </c>
      <c r="E45">
        <f>SUM($D$2:D45)</f>
        <v>4.0056951811185106</v>
      </c>
      <c r="F45">
        <f t="shared" si="8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1"/>
        <v>1.4981242012950426</v>
      </c>
      <c r="U45">
        <f>SUM($T$2:T45)</f>
        <v>23.4261685808953</v>
      </c>
      <c r="V45">
        <f t="shared" si="12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3"/>
        <v>0.3243372346329183</v>
      </c>
      <c r="AC45">
        <f>SUM($AB$2:AB45)</f>
        <v>9.3368623768080994</v>
      </c>
      <c r="AD45">
        <f t="shared" si="14"/>
        <v>0.21220141765472952</v>
      </c>
      <c r="AE45">
        <v>44</v>
      </c>
    </row>
    <row r="46" spans="1:31" x14ac:dyDescent="0.3">
      <c r="A46">
        <v>1</v>
      </c>
      <c r="B46">
        <f t="shared" si="0"/>
        <v>9.8697196999605207E-5</v>
      </c>
      <c r="C46">
        <f t="shared" si="1"/>
        <v>0</v>
      </c>
      <c r="D46">
        <f t="shared" si="15"/>
        <v>0</v>
      </c>
      <c r="E46">
        <f>SUM($D$2:D46)</f>
        <v>4.0056951811185106</v>
      </c>
      <c r="F46">
        <f t="shared" si="8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1"/>
        <v>1.5348470083197825</v>
      </c>
      <c r="U46">
        <f>SUM($T$2:T46)</f>
        <v>24.961015589215084</v>
      </c>
      <c r="V46">
        <f t="shared" si="12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3"/>
        <v>0.3243372346329183</v>
      </c>
      <c r="AC46">
        <f>SUM($AB$2:AB46)</f>
        <v>9.6611996114410168</v>
      </c>
      <c r="AD46">
        <f t="shared" si="14"/>
        <v>0.21469332469868926</v>
      </c>
      <c r="AE46">
        <v>45</v>
      </c>
    </row>
    <row r="47" spans="1:31" x14ac:dyDescent="0.3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1"/>
        <v>1.7875723244092088</v>
      </c>
      <c r="U47">
        <f>SUM($T$2:T47)</f>
        <v>26.748587913624291</v>
      </c>
      <c r="V47">
        <f t="shared" si="12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3"/>
        <v>0.32931963515185858</v>
      </c>
      <c r="AC47">
        <f>SUM($AB$2:AB47)</f>
        <v>9.9905192465928749</v>
      </c>
      <c r="AD47">
        <f t="shared" si="14"/>
        <v>0.21718520101288857</v>
      </c>
      <c r="AE47">
        <v>46</v>
      </c>
    </row>
    <row r="48" spans="1:31" x14ac:dyDescent="0.3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1"/>
        <v>1.8902346663063563</v>
      </c>
      <c r="U48">
        <f>SUM($T$2:T48)</f>
        <v>28.638822579930647</v>
      </c>
      <c r="V48">
        <f t="shared" si="12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3"/>
        <v>0.33945926650273828</v>
      </c>
      <c r="AC48">
        <f>SUM($AB$2:AB48)</f>
        <v>10.329978513095613</v>
      </c>
      <c r="AD48">
        <f t="shared" si="14"/>
        <v>0.21978677687437473</v>
      </c>
      <c r="AE48">
        <v>47</v>
      </c>
    </row>
    <row r="49" spans="17:31" x14ac:dyDescent="0.3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1"/>
        <v>1.9523825730552009</v>
      </c>
      <c r="U49">
        <f>SUM($T$2:T49)</f>
        <v>30.591205152985847</v>
      </c>
      <c r="V49">
        <f t="shared" si="12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3"/>
        <v>0.34809363602693999</v>
      </c>
      <c r="AC49">
        <f>SUM($AB$2:AB49)</f>
        <v>10.678072149122553</v>
      </c>
      <c r="AD49">
        <f t="shared" si="14"/>
        <v>0.22245983644005318</v>
      </c>
      <c r="AE49">
        <v>48</v>
      </c>
    </row>
    <row r="50" spans="17:31" x14ac:dyDescent="0.3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1"/>
        <v>2.0249332402038123</v>
      </c>
      <c r="U50">
        <f>SUM($T$2:T50)</f>
        <v>32.616138393189658</v>
      </c>
      <c r="V50">
        <f t="shared" si="12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3"/>
        <v>0.36047761714224524</v>
      </c>
      <c r="AC50">
        <f>SUM($AB$2:AB50)</f>
        <v>11.038549766264797</v>
      </c>
      <c r="AD50">
        <f t="shared" si="14"/>
        <v>0.22527652584213873</v>
      </c>
      <c r="AE50">
        <v>49</v>
      </c>
    </row>
    <row r="51" spans="17:31" x14ac:dyDescent="0.3">
      <c r="Q51">
        <v>10</v>
      </c>
      <c r="R51">
        <f t="shared" si="4"/>
        <v>8.5836909871244635E-3</v>
      </c>
      <c r="S51">
        <f t="shared" si="5"/>
        <v>1</v>
      </c>
      <c r="T51">
        <f t="shared" si="11"/>
        <v>2.0663259253620376</v>
      </c>
      <c r="U51">
        <f>SUM($T$2:T51)</f>
        <v>34.682464318551695</v>
      </c>
      <c r="V51">
        <f t="shared" si="12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3"/>
        <v>0.36227594054780798</v>
      </c>
      <c r="AC51">
        <f>SUM($AB$2:AB51)</f>
        <v>11.400825706812604</v>
      </c>
      <c r="AD51">
        <f t="shared" si="14"/>
        <v>0.2280165141362521</v>
      </c>
      <c r="AE51">
        <v>50</v>
      </c>
    </row>
    <row r="52" spans="17:31" x14ac:dyDescent="0.3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1"/>
        <v>2.2212278853477807</v>
      </c>
      <c r="U52">
        <f>SUM($T$2:T52)</f>
        <v>36.903692203899475</v>
      </c>
      <c r="V52">
        <f t="shared" si="12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3"/>
        <v>0.36227594054780798</v>
      </c>
      <c r="AC52">
        <f>SUM($AB$2:AB52)</f>
        <v>11.763101647360411</v>
      </c>
      <c r="AD52">
        <f t="shared" si="14"/>
        <v>0.23064905190902768</v>
      </c>
      <c r="AE52">
        <v>51</v>
      </c>
    </row>
    <row r="53" spans="17:31" x14ac:dyDescent="0.3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1"/>
        <v>2.3673559210260189</v>
      </c>
      <c r="U53">
        <f>SUM($T$2:T53)</f>
        <v>39.271048124925493</v>
      </c>
      <c r="V53">
        <f t="shared" si="12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3"/>
        <v>0.36771602606616449</v>
      </c>
      <c r="AC53">
        <f>SUM($AB$2:AB53)</f>
        <v>12.130817673426575</v>
      </c>
      <c r="AD53">
        <f t="shared" si="14"/>
        <v>0.23328495525820336</v>
      </c>
      <c r="AE53">
        <v>52</v>
      </c>
    </row>
    <row r="54" spans="17:31" x14ac:dyDescent="0.3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1"/>
        <v>2.4642659340340751</v>
      </c>
      <c r="U54">
        <f>SUM($T$2:T54)</f>
        <v>41.735314058959567</v>
      </c>
      <c r="V54">
        <f t="shared" si="12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3"/>
        <v>0.37322512085094006</v>
      </c>
      <c r="AC54">
        <f>SUM($AB$2:AB54)</f>
        <v>12.504042794277515</v>
      </c>
      <c r="AD54">
        <f t="shared" si="14"/>
        <v>0.23592533574108518</v>
      </c>
      <c r="AE54">
        <v>53</v>
      </c>
    </row>
    <row r="55" spans="17:31" x14ac:dyDescent="0.3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1"/>
        <v>2.4642659340340751</v>
      </c>
      <c r="U55">
        <f>SUM($T$2:T55)</f>
        <v>44.199579992993641</v>
      </c>
      <c r="V55">
        <f t="shared" si="12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3"/>
        <v>0.37322512085094006</v>
      </c>
      <c r="AC55">
        <f>SUM($AB$2:AB55)</f>
        <v>12.877267915128455</v>
      </c>
      <c r="AD55">
        <f t="shared" si="14"/>
        <v>0.23846792435423064</v>
      </c>
      <c r="AE55">
        <v>54</v>
      </c>
    </row>
    <row r="56" spans="17:31" x14ac:dyDescent="0.3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1"/>
        <v>2.589204670642375</v>
      </c>
      <c r="U56">
        <f>SUM($T$2:T56)</f>
        <v>46.788784663636015</v>
      </c>
      <c r="V56">
        <f t="shared" si="12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3"/>
        <v>0.38068100323053189</v>
      </c>
      <c r="AC56">
        <f>SUM($AB$2:AB56)</f>
        <v>13.257948918358986</v>
      </c>
      <c r="AD56">
        <f t="shared" si="14"/>
        <v>0.24105361669743611</v>
      </c>
      <c r="AE56">
        <v>55</v>
      </c>
    </row>
    <row r="57" spans="17:31" x14ac:dyDescent="0.3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1"/>
        <v>2.589204670642375</v>
      </c>
      <c r="U57">
        <f>SUM($T$2:T57)</f>
        <v>49.377989334278389</v>
      </c>
      <c r="V57">
        <f t="shared" si="12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3"/>
        <v>0.38256514710508327</v>
      </c>
      <c r="AC57">
        <f>SUM($AB$2:AB57)</f>
        <v>13.640514065464069</v>
      </c>
      <c r="AD57">
        <f t="shared" si="14"/>
        <v>0.24358060831185838</v>
      </c>
      <c r="AE57">
        <v>56</v>
      </c>
    </row>
    <row r="58" spans="17:31" x14ac:dyDescent="0.3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1"/>
        <v>2.7652959296980564</v>
      </c>
      <c r="U58">
        <f>SUM($T$2:T58)</f>
        <v>52.143285263976445</v>
      </c>
      <c r="V58">
        <f t="shared" si="12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3"/>
        <v>0.39598812007451567</v>
      </c>
      <c r="AC58">
        <f>SUM($AB$2:AB58)</f>
        <v>14.036502185538584</v>
      </c>
      <c r="AD58">
        <f t="shared" si="14"/>
        <v>0.24625442430769445</v>
      </c>
      <c r="AE58">
        <v>57</v>
      </c>
    </row>
    <row r="59" spans="17:31" x14ac:dyDescent="0.3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1"/>
        <v>2.7652959296980564</v>
      </c>
      <c r="U59">
        <f>SUM($T$2:T59)</f>
        <v>54.9085811936745</v>
      </c>
      <c r="V59">
        <f t="shared" si="12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3"/>
        <v>0.43679694520946333</v>
      </c>
      <c r="AC59">
        <f>SUM($AB$2:AB59)</f>
        <v>14.473299130748048</v>
      </c>
      <c r="AD59">
        <f t="shared" si="14"/>
        <v>0.24953964018531116</v>
      </c>
      <c r="AE59">
        <v>58</v>
      </c>
    </row>
    <row r="60" spans="17:31" x14ac:dyDescent="0.3">
      <c r="Q60">
        <v>1</v>
      </c>
      <c r="R60">
        <f t="shared" si="4"/>
        <v>8.5836909871244631E-4</v>
      </c>
      <c r="S60">
        <f t="shared" si="5"/>
        <v>0</v>
      </c>
      <c r="T60">
        <f t="shared" si="11"/>
        <v>3.0663259253620376</v>
      </c>
      <c r="U60">
        <f>SUM($T$2:T60)</f>
        <v>57.974907119036537</v>
      </c>
      <c r="V60">
        <f t="shared" si="12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3"/>
        <v>0.44326298745869508</v>
      </c>
      <c r="AC60">
        <f>SUM($AB$2:AB60)</f>
        <v>14.916562118206743</v>
      </c>
      <c r="AD60">
        <f t="shared" si="14"/>
        <v>0.25282308674926685</v>
      </c>
      <c r="AE60">
        <v>59</v>
      </c>
    </row>
    <row r="61" spans="17:31" x14ac:dyDescent="0.3">
      <c r="Q61">
        <v>1</v>
      </c>
      <c r="R61">
        <f t="shared" si="4"/>
        <v>8.5836909871244631E-4</v>
      </c>
      <c r="S61">
        <f t="shared" si="5"/>
        <v>0</v>
      </c>
      <c r="T61">
        <f t="shared" si="11"/>
        <v>3.0663259253620376</v>
      </c>
      <c r="U61">
        <f>SUM($T$2:T61)</f>
        <v>61.041233044398574</v>
      </c>
      <c r="V61">
        <f t="shared" si="12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3"/>
        <v>0.46783117894943205</v>
      </c>
      <c r="AC61">
        <f>SUM($AB$2:AB61)</f>
        <v>15.384393297156175</v>
      </c>
      <c r="AD61">
        <f t="shared" si="14"/>
        <v>0.25640655495260289</v>
      </c>
      <c r="AE61">
        <v>60</v>
      </c>
    </row>
    <row r="62" spans="17:31" x14ac:dyDescent="0.3">
      <c r="Q62">
        <v>1</v>
      </c>
      <c r="R62">
        <f t="shared" si="4"/>
        <v>8.5836909871244631E-4</v>
      </c>
      <c r="S62">
        <f t="shared" si="5"/>
        <v>0</v>
      </c>
      <c r="T62">
        <f t="shared" si="11"/>
        <v>3.0663259253620376</v>
      </c>
      <c r="U62">
        <f>SUM($T$2:T62)</f>
        <v>64.107558969760618</v>
      </c>
      <c r="V62">
        <f t="shared" si="12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3"/>
        <v>0.4701351338589963</v>
      </c>
      <c r="AC62">
        <f>SUM($AB$2:AB62)</f>
        <v>15.85452843101517</v>
      </c>
      <c r="AD62">
        <f t="shared" si="14"/>
        <v>0.25991030214778965</v>
      </c>
      <c r="AE62">
        <v>61</v>
      </c>
    </row>
    <row r="63" spans="17:31" x14ac:dyDescent="0.3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3"/>
        <v>0.48422159513760166</v>
      </c>
      <c r="AC63">
        <f>SUM($AB$2:AB63)</f>
        <v>16.338750026152773</v>
      </c>
      <c r="AD63">
        <f t="shared" si="14"/>
        <v>0.26352822622827055</v>
      </c>
      <c r="AE63">
        <v>62</v>
      </c>
    </row>
    <row r="64" spans="17:31" x14ac:dyDescent="0.3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3"/>
        <v>0.48902047801937032</v>
      </c>
      <c r="AC64">
        <f>SUM($AB$2:AB64)</f>
        <v>16.827770504172143</v>
      </c>
      <c r="AD64">
        <f t="shared" si="14"/>
        <v>0.26710746832019278</v>
      </c>
      <c r="AE64">
        <v>63</v>
      </c>
    </row>
    <row r="65" spans="25:31" x14ac:dyDescent="0.3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3"/>
        <v>0.49143995214278302</v>
      </c>
      <c r="AC65">
        <f>SUM($AB$2:AB65)</f>
        <v>17.319210456314927</v>
      </c>
      <c r="AD65">
        <f t="shared" si="14"/>
        <v>0.27061266337992074</v>
      </c>
      <c r="AE65">
        <v>64</v>
      </c>
    </row>
    <row r="66" spans="25:31" x14ac:dyDescent="0.3">
      <c r="Y66">
        <v>174</v>
      </c>
      <c r="Z66">
        <f t="shared" ref="Z66:Z129" si="16">Y66/MAX($Y$1:$Y$157)</f>
        <v>0.31351351351351353</v>
      </c>
      <c r="AA66">
        <f t="shared" ref="AA66:AA129" si="17">LOG(Y66)</f>
        <v>2.2405492482825999</v>
      </c>
      <c r="AB66">
        <f t="shared" si="13"/>
        <v>0.5037437348400764</v>
      </c>
      <c r="AC66">
        <f>SUM($AB$2:AB66)</f>
        <v>17.822954191155002</v>
      </c>
      <c r="AD66">
        <f t="shared" si="14"/>
        <v>0.27419929524853848</v>
      </c>
      <c r="AE66">
        <v>65</v>
      </c>
    </row>
    <row r="67" spans="25:31" x14ac:dyDescent="0.3">
      <c r="Y67">
        <v>168</v>
      </c>
      <c r="Z67">
        <f t="shared" si="16"/>
        <v>0.30270270270270272</v>
      </c>
      <c r="AA67">
        <f t="shared" si="17"/>
        <v>2.2253092817258628</v>
      </c>
      <c r="AB67">
        <f t="shared" ref="AB67:AB130" si="18">$AA$1-AA67</f>
        <v>0.51898370139681349</v>
      </c>
      <c r="AC67">
        <f>SUM($AB$2:AB67)</f>
        <v>18.341937892551815</v>
      </c>
      <c r="AD67">
        <f t="shared" ref="AD67:AD130" si="19">AC67/AE67</f>
        <v>0.27790814988714874</v>
      </c>
      <c r="AE67">
        <v>66</v>
      </c>
    </row>
    <row r="68" spans="25:31" x14ac:dyDescent="0.3">
      <c r="Y68">
        <v>156</v>
      </c>
      <c r="Z68">
        <f t="shared" si="16"/>
        <v>0.2810810810810811</v>
      </c>
      <c r="AA68">
        <f t="shared" si="17"/>
        <v>2.1931245983544616</v>
      </c>
      <c r="AB68">
        <f t="shared" si="18"/>
        <v>0.55116838476821473</v>
      </c>
      <c r="AC68">
        <f>SUM($AB$2:AB68)</f>
        <v>18.89310627732003</v>
      </c>
      <c r="AD68">
        <f t="shared" si="19"/>
        <v>0.28198666085552282</v>
      </c>
      <c r="AE68">
        <v>67</v>
      </c>
    </row>
    <row r="69" spans="25:31" x14ac:dyDescent="0.3">
      <c r="Y69">
        <v>154</v>
      </c>
      <c r="Z69">
        <f t="shared" si="16"/>
        <v>0.27747747747747747</v>
      </c>
      <c r="AA69">
        <f t="shared" si="17"/>
        <v>2.1875207208364631</v>
      </c>
      <c r="AB69">
        <f t="shared" si="18"/>
        <v>0.55677226228621324</v>
      </c>
      <c r="AC69">
        <f>SUM($AB$2:AB69)</f>
        <v>19.449878539606242</v>
      </c>
      <c r="AD69">
        <f t="shared" si="19"/>
        <v>0.28602762558244477</v>
      </c>
      <c r="AE69">
        <v>68</v>
      </c>
    </row>
    <row r="70" spans="25:31" x14ac:dyDescent="0.3">
      <c r="Y70">
        <v>149</v>
      </c>
      <c r="Z70">
        <f t="shared" si="16"/>
        <v>0.26846846846846845</v>
      </c>
      <c r="AA70">
        <f t="shared" si="17"/>
        <v>2.173186268412274</v>
      </c>
      <c r="AB70">
        <f t="shared" si="18"/>
        <v>0.57110671471040231</v>
      </c>
      <c r="AC70">
        <f>SUM($AB$2:AB70)</f>
        <v>20.020985254316646</v>
      </c>
      <c r="AD70">
        <f t="shared" si="19"/>
        <v>0.29015920658429922</v>
      </c>
      <c r="AE70">
        <v>69</v>
      </c>
    </row>
    <row r="71" spans="25:31" x14ac:dyDescent="0.3">
      <c r="Y71">
        <v>144</v>
      </c>
      <c r="Z71">
        <f t="shared" si="16"/>
        <v>0.25945945945945947</v>
      </c>
      <c r="AA71">
        <f t="shared" si="17"/>
        <v>2.1583624920952498</v>
      </c>
      <c r="AB71">
        <f t="shared" si="18"/>
        <v>0.58593049102742656</v>
      </c>
      <c r="AC71">
        <f>SUM($AB$2:AB71)</f>
        <v>20.606915745344072</v>
      </c>
      <c r="AD71">
        <f t="shared" si="19"/>
        <v>0.29438451064777243</v>
      </c>
      <c r="AE71">
        <v>70</v>
      </c>
    </row>
    <row r="72" spans="25:31" x14ac:dyDescent="0.3">
      <c r="Y72">
        <v>140</v>
      </c>
      <c r="Z72">
        <f t="shared" si="16"/>
        <v>0.25225225225225223</v>
      </c>
      <c r="AA72">
        <f t="shared" si="17"/>
        <v>2.1461280356782382</v>
      </c>
      <c r="AB72">
        <f t="shared" si="18"/>
        <v>0.59816494744443816</v>
      </c>
      <c r="AC72">
        <f>SUM($AB$2:AB72)</f>
        <v>21.20508069278851</v>
      </c>
      <c r="AD72">
        <f t="shared" si="19"/>
        <v>0.29866310834913395</v>
      </c>
      <c r="AE72">
        <v>71</v>
      </c>
    </row>
    <row r="73" spans="25:31" x14ac:dyDescent="0.3">
      <c r="Y73">
        <v>136</v>
      </c>
      <c r="Z73">
        <f t="shared" si="16"/>
        <v>0.24504504504504504</v>
      </c>
      <c r="AA73">
        <f t="shared" si="17"/>
        <v>2.1335389083702174</v>
      </c>
      <c r="AB73">
        <f t="shared" si="18"/>
        <v>0.61075407475245891</v>
      </c>
      <c r="AC73">
        <f>SUM($AB$2:AB73)</f>
        <v>21.81583476754097</v>
      </c>
      <c r="AD73">
        <f t="shared" si="19"/>
        <v>0.30299770510473567</v>
      </c>
      <c r="AE73">
        <v>72</v>
      </c>
    </row>
    <row r="74" spans="25:31" x14ac:dyDescent="0.3">
      <c r="Y74">
        <v>128</v>
      </c>
      <c r="Z74">
        <f t="shared" si="16"/>
        <v>0.23063063063063063</v>
      </c>
      <c r="AA74">
        <f t="shared" si="17"/>
        <v>2.1072099696478683</v>
      </c>
      <c r="AB74">
        <f t="shared" si="18"/>
        <v>0.637083013474808</v>
      </c>
      <c r="AC74">
        <f>SUM($AB$2:AB74)</f>
        <v>22.452917781015778</v>
      </c>
      <c r="AD74">
        <f t="shared" si="19"/>
        <v>0.30757421617829833</v>
      </c>
      <c r="AE74">
        <v>73</v>
      </c>
    </row>
    <row r="75" spans="25:31" x14ac:dyDescent="0.3">
      <c r="Y75">
        <v>127</v>
      </c>
      <c r="Z75">
        <f t="shared" si="16"/>
        <v>0.22882882882882882</v>
      </c>
      <c r="AA75">
        <f t="shared" si="17"/>
        <v>2.1038037209559568</v>
      </c>
      <c r="AB75">
        <f t="shared" si="18"/>
        <v>0.64048926216671953</v>
      </c>
      <c r="AC75">
        <f>SUM($AB$2:AB75)</f>
        <v>23.093407043182498</v>
      </c>
      <c r="AD75">
        <f t="shared" si="19"/>
        <v>0.31207306815111485</v>
      </c>
      <c r="AE75">
        <v>74</v>
      </c>
    </row>
    <row r="76" spans="25:31" x14ac:dyDescent="0.3">
      <c r="Y76">
        <v>115</v>
      </c>
      <c r="Z76">
        <f t="shared" si="16"/>
        <v>0.2072072072072072</v>
      </c>
      <c r="AA76">
        <f t="shared" si="17"/>
        <v>2.0606978403536118</v>
      </c>
      <c r="AB76">
        <f t="shared" si="18"/>
        <v>0.68359514276906452</v>
      </c>
      <c r="AC76">
        <f>SUM($AB$2:AB76)</f>
        <v>23.777002185951563</v>
      </c>
      <c r="AD76">
        <f t="shared" si="19"/>
        <v>0.3170266958126875</v>
      </c>
      <c r="AE76">
        <v>75</v>
      </c>
    </row>
    <row r="77" spans="25:31" x14ac:dyDescent="0.3">
      <c r="Y77">
        <v>106</v>
      </c>
      <c r="Z77">
        <f t="shared" si="16"/>
        <v>0.19099099099099098</v>
      </c>
      <c r="AA77">
        <f t="shared" si="17"/>
        <v>2.0253058652647704</v>
      </c>
      <c r="AB77">
        <f t="shared" si="18"/>
        <v>0.71898711785790592</v>
      </c>
      <c r="AC77">
        <f>SUM($AB$2:AB77)</f>
        <v>24.49598930380947</v>
      </c>
      <c r="AD77">
        <f t="shared" si="19"/>
        <v>0.3223156487343351</v>
      </c>
      <c r="AE77">
        <v>76</v>
      </c>
    </row>
    <row r="78" spans="25:31" x14ac:dyDescent="0.3">
      <c r="Y78">
        <v>99</v>
      </c>
      <c r="Z78">
        <f t="shared" si="16"/>
        <v>0.17837837837837839</v>
      </c>
      <c r="AA78">
        <f t="shared" si="17"/>
        <v>1.9956351945975499</v>
      </c>
      <c r="AB78">
        <f t="shared" si="18"/>
        <v>0.74865778852512643</v>
      </c>
      <c r="AC78">
        <f>SUM($AB$2:AB78)</f>
        <v>25.244647092334596</v>
      </c>
      <c r="AD78">
        <f t="shared" si="19"/>
        <v>0.32785255964070903</v>
      </c>
      <c r="AE78">
        <v>77</v>
      </c>
    </row>
    <row r="79" spans="25:31" x14ac:dyDescent="0.3">
      <c r="Y79">
        <v>96</v>
      </c>
      <c r="Z79">
        <f t="shared" si="16"/>
        <v>0.17297297297297298</v>
      </c>
      <c r="AA79">
        <f t="shared" si="17"/>
        <v>1.9822712330395684</v>
      </c>
      <c r="AB79">
        <f t="shared" si="18"/>
        <v>0.76202175008310791</v>
      </c>
      <c r="AC79">
        <f>SUM($AB$2:AB79)</f>
        <v>26.006668842417703</v>
      </c>
      <c r="AD79">
        <f t="shared" si="19"/>
        <v>0.33341883131304745</v>
      </c>
      <c r="AE79">
        <v>78</v>
      </c>
    </row>
    <row r="80" spans="25:31" x14ac:dyDescent="0.3">
      <c r="Y80">
        <v>90</v>
      </c>
      <c r="Z80">
        <f t="shared" si="16"/>
        <v>0.16216216216216217</v>
      </c>
      <c r="AA80">
        <f t="shared" si="17"/>
        <v>1.954242509439325</v>
      </c>
      <c r="AB80">
        <f t="shared" si="18"/>
        <v>0.79005047368335135</v>
      </c>
      <c r="AC80">
        <f>SUM($AB$2:AB80)</f>
        <v>26.796719316101054</v>
      </c>
      <c r="AD80">
        <f t="shared" si="19"/>
        <v>0.33919897868482346</v>
      </c>
      <c r="AE80">
        <v>79</v>
      </c>
    </row>
    <row r="81" spans="25:31" x14ac:dyDescent="0.3">
      <c r="Y81">
        <v>87</v>
      </c>
      <c r="Z81">
        <f t="shared" si="16"/>
        <v>0.15675675675675677</v>
      </c>
      <c r="AA81">
        <f t="shared" si="17"/>
        <v>1.9395192526186185</v>
      </c>
      <c r="AB81">
        <f t="shared" si="18"/>
        <v>0.80477373050405787</v>
      </c>
      <c r="AC81">
        <f>SUM($AB$2:AB81)</f>
        <v>27.60149304660511</v>
      </c>
      <c r="AD81">
        <f t="shared" si="19"/>
        <v>0.3450186630825639</v>
      </c>
      <c r="AE81">
        <v>80</v>
      </c>
    </row>
    <row r="82" spans="25:31" x14ac:dyDescent="0.3">
      <c r="Y82">
        <v>86</v>
      </c>
      <c r="Z82">
        <f t="shared" si="16"/>
        <v>0.15495495495495495</v>
      </c>
      <c r="AA82">
        <f t="shared" si="17"/>
        <v>1.9344984512435677</v>
      </c>
      <c r="AB82">
        <f t="shared" si="18"/>
        <v>0.80979453187910866</v>
      </c>
      <c r="AC82">
        <f>SUM($AB$2:AB82)</f>
        <v>28.41128757848422</v>
      </c>
      <c r="AD82">
        <f t="shared" si="19"/>
        <v>0.35075663677141011</v>
      </c>
      <c r="AE82">
        <v>81</v>
      </c>
    </row>
    <row r="83" spans="25:31" x14ac:dyDescent="0.3">
      <c r="Y83">
        <v>79</v>
      </c>
      <c r="Z83">
        <f t="shared" si="16"/>
        <v>0.14234234234234233</v>
      </c>
      <c r="AA83">
        <f t="shared" si="17"/>
        <v>1.8976270912904414</v>
      </c>
      <c r="AB83">
        <f t="shared" si="18"/>
        <v>0.84666589183223495</v>
      </c>
      <c r="AC83">
        <f>SUM($AB$2:AB83)</f>
        <v>29.257953470316455</v>
      </c>
      <c r="AD83">
        <f t="shared" si="19"/>
        <v>0.35680431061361528</v>
      </c>
      <c r="AE83">
        <v>82</v>
      </c>
    </row>
    <row r="84" spans="25:31" x14ac:dyDescent="0.3">
      <c r="Y84">
        <v>70</v>
      </c>
      <c r="Z84">
        <f t="shared" si="16"/>
        <v>0.12612612612612611</v>
      </c>
      <c r="AA84">
        <f t="shared" si="17"/>
        <v>1.8450980400142569</v>
      </c>
      <c r="AB84">
        <f t="shared" si="18"/>
        <v>0.89919494310841941</v>
      </c>
      <c r="AC84">
        <f>SUM($AB$2:AB84)</f>
        <v>30.157148413424874</v>
      </c>
      <c r="AD84">
        <f t="shared" si="19"/>
        <v>0.36333913751114305</v>
      </c>
      <c r="AE84">
        <v>83</v>
      </c>
    </row>
    <row r="85" spans="25:31" x14ac:dyDescent="0.3">
      <c r="Y85">
        <v>70</v>
      </c>
      <c r="Z85">
        <f t="shared" si="16"/>
        <v>0.12612612612612611</v>
      </c>
      <c r="AA85">
        <f t="shared" si="17"/>
        <v>1.8450980400142569</v>
      </c>
      <c r="AB85">
        <f t="shared" si="18"/>
        <v>0.89919494310841941</v>
      </c>
      <c r="AC85">
        <f>SUM($AB$2:AB85)</f>
        <v>31.056343356533294</v>
      </c>
      <c r="AD85">
        <f t="shared" si="19"/>
        <v>0.36971837329206303</v>
      </c>
      <c r="AE85">
        <v>84</v>
      </c>
    </row>
    <row r="86" spans="25:31" x14ac:dyDescent="0.3">
      <c r="Y86">
        <v>70</v>
      </c>
      <c r="Z86">
        <f t="shared" si="16"/>
        <v>0.12612612612612611</v>
      </c>
      <c r="AA86">
        <f t="shared" si="17"/>
        <v>1.8450980400142569</v>
      </c>
      <c r="AB86">
        <f t="shared" si="18"/>
        <v>0.89919494310841941</v>
      </c>
      <c r="AC86">
        <f>SUM($AB$2:AB86)</f>
        <v>31.955538299641713</v>
      </c>
      <c r="AD86">
        <f t="shared" si="19"/>
        <v>0.37594750940754956</v>
      </c>
      <c r="AE86">
        <v>85</v>
      </c>
    </row>
    <row r="87" spans="25:31" x14ac:dyDescent="0.3">
      <c r="Y87">
        <v>69</v>
      </c>
      <c r="Z87">
        <f t="shared" si="16"/>
        <v>0.12432432432432433</v>
      </c>
      <c r="AA87">
        <f t="shared" si="17"/>
        <v>1.8388490907372552</v>
      </c>
      <c r="AB87">
        <f t="shared" si="18"/>
        <v>0.90544389238542111</v>
      </c>
      <c r="AC87">
        <f>SUM($AB$2:AB87)</f>
        <v>32.860982192027137</v>
      </c>
      <c r="AD87">
        <f t="shared" si="19"/>
        <v>0.38210444409333882</v>
      </c>
      <c r="AE87">
        <v>86</v>
      </c>
    </row>
    <row r="88" spans="25:31" x14ac:dyDescent="0.3">
      <c r="Y88">
        <v>68</v>
      </c>
      <c r="Z88">
        <f t="shared" si="16"/>
        <v>0.12252252252252252</v>
      </c>
      <c r="AA88">
        <f t="shared" si="17"/>
        <v>1.8325089127062364</v>
      </c>
      <c r="AB88">
        <f t="shared" si="18"/>
        <v>0.91178407041643994</v>
      </c>
      <c r="AC88">
        <f>SUM($AB$2:AB88)</f>
        <v>33.772766262443575</v>
      </c>
      <c r="AD88">
        <f t="shared" si="19"/>
        <v>0.38819271566027097</v>
      </c>
      <c r="AE88">
        <v>87</v>
      </c>
    </row>
    <row r="89" spans="25:31" x14ac:dyDescent="0.3">
      <c r="Y89">
        <v>61</v>
      </c>
      <c r="Z89">
        <f t="shared" si="16"/>
        <v>0.10990990990990991</v>
      </c>
      <c r="AA89">
        <f t="shared" si="17"/>
        <v>1.7853298350107671</v>
      </c>
      <c r="AB89">
        <f t="shared" si="18"/>
        <v>0.95896314811190919</v>
      </c>
      <c r="AC89">
        <f>SUM($AB$2:AB89)</f>
        <v>34.731729410555488</v>
      </c>
      <c r="AD89">
        <f t="shared" si="19"/>
        <v>0.39467874330176689</v>
      </c>
      <c r="AE89">
        <v>88</v>
      </c>
    </row>
    <row r="90" spans="25:31" x14ac:dyDescent="0.3">
      <c r="Y90">
        <v>60</v>
      </c>
      <c r="Z90">
        <f t="shared" si="16"/>
        <v>0.10810810810810811</v>
      </c>
      <c r="AA90">
        <f t="shared" si="17"/>
        <v>1.7781512503836436</v>
      </c>
      <c r="AB90">
        <f t="shared" si="18"/>
        <v>0.9661417327390327</v>
      </c>
      <c r="AC90">
        <f>SUM($AB$2:AB90)</f>
        <v>35.69787114329452</v>
      </c>
      <c r="AD90">
        <f t="shared" si="19"/>
        <v>0.40109967576735417</v>
      </c>
      <c r="AE90">
        <v>89</v>
      </c>
    </row>
    <row r="91" spans="25:31" x14ac:dyDescent="0.3">
      <c r="Y91">
        <v>56</v>
      </c>
      <c r="Z91">
        <f t="shared" si="16"/>
        <v>0.1009009009009009</v>
      </c>
      <c r="AA91">
        <f t="shared" si="17"/>
        <v>1.7481880270062005</v>
      </c>
      <c r="AB91">
        <f t="shared" si="18"/>
        <v>0.99610495611647587</v>
      </c>
      <c r="AC91">
        <f>SUM($AB$2:AB91)</f>
        <v>36.693976099410996</v>
      </c>
      <c r="AD91">
        <f t="shared" si="19"/>
        <v>0.40771084554901105</v>
      </c>
      <c r="AE91">
        <v>90</v>
      </c>
    </row>
    <row r="92" spans="25:31" x14ac:dyDescent="0.3">
      <c r="Y92">
        <v>48</v>
      </c>
      <c r="Z92">
        <f t="shared" si="16"/>
        <v>8.6486486486486491E-2</v>
      </c>
      <c r="AA92">
        <f t="shared" si="17"/>
        <v>1.6812412373755872</v>
      </c>
      <c r="AB92">
        <f t="shared" si="18"/>
        <v>1.0630517457470892</v>
      </c>
      <c r="AC92">
        <f>SUM($AB$2:AB92)</f>
        <v>37.757027845158085</v>
      </c>
      <c r="AD92">
        <f t="shared" si="19"/>
        <v>0.41491239390283607</v>
      </c>
      <c r="AE92">
        <v>91</v>
      </c>
    </row>
    <row r="93" spans="25:31" x14ac:dyDescent="0.3">
      <c r="Y93">
        <v>44</v>
      </c>
      <c r="Z93">
        <f t="shared" si="16"/>
        <v>7.9279279279279274E-2</v>
      </c>
      <c r="AA93">
        <f t="shared" si="17"/>
        <v>1.6434526764861874</v>
      </c>
      <c r="AB93">
        <f t="shared" si="18"/>
        <v>1.1008403066364889</v>
      </c>
      <c r="AC93">
        <f>SUM($AB$2:AB93)</f>
        <v>38.857868151794577</v>
      </c>
      <c r="AD93">
        <f t="shared" si="19"/>
        <v>0.42236813208472368</v>
      </c>
      <c r="AE93">
        <v>92</v>
      </c>
    </row>
    <row r="94" spans="25:31" x14ac:dyDescent="0.3">
      <c r="Y94">
        <v>43</v>
      </c>
      <c r="Z94">
        <f t="shared" si="16"/>
        <v>7.7477477477477477E-2</v>
      </c>
      <c r="AA94">
        <f t="shared" si="17"/>
        <v>1.6334684555795864</v>
      </c>
      <c r="AB94">
        <f t="shared" si="18"/>
        <v>1.1108245275430899</v>
      </c>
      <c r="AC94">
        <f>SUM($AB$2:AB94)</f>
        <v>39.968692679337664</v>
      </c>
      <c r="AD94">
        <f t="shared" si="19"/>
        <v>0.42977088902513616</v>
      </c>
      <c r="AE94">
        <v>93</v>
      </c>
    </row>
    <row r="95" spans="25:31" x14ac:dyDescent="0.3">
      <c r="Y95">
        <v>43</v>
      </c>
      <c r="Z95">
        <f t="shared" si="16"/>
        <v>7.7477477477477477E-2</v>
      </c>
      <c r="AA95">
        <f t="shared" si="17"/>
        <v>1.6334684555795864</v>
      </c>
      <c r="AB95">
        <f t="shared" si="18"/>
        <v>1.1108245275430899</v>
      </c>
      <c r="AC95">
        <f>SUM($AB$2:AB95)</f>
        <v>41.079517206880752</v>
      </c>
      <c r="AD95">
        <f t="shared" si="19"/>
        <v>0.43701614049873139</v>
      </c>
      <c r="AE95">
        <v>94</v>
      </c>
    </row>
    <row r="96" spans="25:31" x14ac:dyDescent="0.3">
      <c r="Y96">
        <v>41</v>
      </c>
      <c r="Z96">
        <f t="shared" si="16"/>
        <v>7.3873873873873869E-2</v>
      </c>
      <c r="AA96">
        <f t="shared" si="17"/>
        <v>1.6127838567197355</v>
      </c>
      <c r="AB96">
        <f t="shared" si="18"/>
        <v>1.1315091264029409</v>
      </c>
      <c r="AC96">
        <f>SUM($AB$2:AB96)</f>
        <v>42.211026333283691</v>
      </c>
      <c r="AD96">
        <f t="shared" si="19"/>
        <v>0.44432659298193361</v>
      </c>
      <c r="AE96">
        <v>95</v>
      </c>
    </row>
    <row r="97" spans="25:31" x14ac:dyDescent="0.3">
      <c r="Y97">
        <v>40</v>
      </c>
      <c r="Z97">
        <f t="shared" si="16"/>
        <v>7.2072072072072071E-2</v>
      </c>
      <c r="AA97">
        <f t="shared" si="17"/>
        <v>1.6020599913279623</v>
      </c>
      <c r="AB97">
        <f t="shared" si="18"/>
        <v>1.142232991794714</v>
      </c>
      <c r="AC97">
        <f>SUM($AB$2:AB97)</f>
        <v>43.353259325078405</v>
      </c>
      <c r="AD97">
        <f t="shared" si="19"/>
        <v>0.45159645130290005</v>
      </c>
      <c r="AE97">
        <v>96</v>
      </c>
    </row>
    <row r="98" spans="25:31" x14ac:dyDescent="0.3">
      <c r="Y98">
        <v>40</v>
      </c>
      <c r="Z98">
        <f t="shared" si="16"/>
        <v>7.2072072072072071E-2</v>
      </c>
      <c r="AA98">
        <f t="shared" si="17"/>
        <v>1.6020599913279623</v>
      </c>
      <c r="AB98">
        <f t="shared" si="18"/>
        <v>1.142232991794714</v>
      </c>
      <c r="AC98">
        <f>SUM($AB$2:AB98)</f>
        <v>44.495492316873118</v>
      </c>
      <c r="AD98">
        <f t="shared" si="19"/>
        <v>0.45871641563786719</v>
      </c>
      <c r="AE98">
        <v>97</v>
      </c>
    </row>
    <row r="99" spans="25:31" x14ac:dyDescent="0.3">
      <c r="Y99">
        <v>39</v>
      </c>
      <c r="Z99">
        <f t="shared" si="16"/>
        <v>7.0270270270270274E-2</v>
      </c>
      <c r="AA99">
        <f t="shared" si="17"/>
        <v>1.5910646070264991</v>
      </c>
      <c r="AB99">
        <f t="shared" si="18"/>
        <v>1.1532283760961772</v>
      </c>
      <c r="AC99">
        <f>SUM($AB$2:AB99)</f>
        <v>45.648720692969299</v>
      </c>
      <c r="AD99">
        <f t="shared" si="19"/>
        <v>0.46580327237723773</v>
      </c>
      <c r="AE99">
        <v>98</v>
      </c>
    </row>
    <row r="100" spans="25:31" x14ac:dyDescent="0.3">
      <c r="Y100">
        <v>37</v>
      </c>
      <c r="Z100">
        <f t="shared" si="16"/>
        <v>6.6666666666666666E-2</v>
      </c>
      <c r="AA100">
        <f t="shared" si="17"/>
        <v>1.568201724066995</v>
      </c>
      <c r="AB100">
        <f t="shared" si="18"/>
        <v>1.1760912590556813</v>
      </c>
      <c r="AC100">
        <f>SUM($AB$2:AB100)</f>
        <v>46.82481195202498</v>
      </c>
      <c r="AD100">
        <f t="shared" si="19"/>
        <v>0.47297789850530281</v>
      </c>
      <c r="AE100">
        <v>99</v>
      </c>
    </row>
    <row r="101" spans="25:31" x14ac:dyDescent="0.3">
      <c r="Y101">
        <v>31</v>
      </c>
      <c r="Z101">
        <f t="shared" si="16"/>
        <v>5.5855855855855854E-2</v>
      </c>
      <c r="AA101">
        <f t="shared" si="17"/>
        <v>1.4913616938342726</v>
      </c>
      <c r="AB101">
        <f t="shared" si="18"/>
        <v>1.2529312892884037</v>
      </c>
      <c r="AC101">
        <f>SUM($AB$2:AB101)</f>
        <v>48.077743241313385</v>
      </c>
      <c r="AD101">
        <f t="shared" si="19"/>
        <v>0.48077743241313387</v>
      </c>
      <c r="AE101">
        <v>100</v>
      </c>
    </row>
    <row r="102" spans="25:31" x14ac:dyDescent="0.3">
      <c r="Y102">
        <v>30</v>
      </c>
      <c r="Z102">
        <f t="shared" si="16"/>
        <v>5.4054054054054057E-2</v>
      </c>
      <c r="AA102">
        <f t="shared" si="17"/>
        <v>1.4771212547196624</v>
      </c>
      <c r="AB102">
        <f t="shared" si="18"/>
        <v>1.267171728403014</v>
      </c>
      <c r="AC102">
        <f>SUM($AB$2:AB102)</f>
        <v>49.344914969716399</v>
      </c>
      <c r="AD102">
        <f t="shared" si="19"/>
        <v>0.48856351455164754</v>
      </c>
      <c r="AE102">
        <v>101</v>
      </c>
    </row>
    <row r="103" spans="25:31" x14ac:dyDescent="0.3">
      <c r="Y103">
        <v>29</v>
      </c>
      <c r="Z103">
        <f t="shared" si="16"/>
        <v>5.2252252252252253E-2</v>
      </c>
      <c r="AA103">
        <f t="shared" si="17"/>
        <v>1.4623979978989561</v>
      </c>
      <c r="AB103">
        <f t="shared" si="18"/>
        <v>1.2818949852237203</v>
      </c>
      <c r="AC103">
        <f>SUM($AB$2:AB103)</f>
        <v>50.626809954940121</v>
      </c>
      <c r="AD103">
        <f t="shared" si="19"/>
        <v>0.49634127406804041</v>
      </c>
      <c r="AE103">
        <v>102</v>
      </c>
    </row>
    <row r="104" spans="25:31" x14ac:dyDescent="0.3">
      <c r="Y104">
        <v>28</v>
      </c>
      <c r="Z104">
        <f t="shared" si="16"/>
        <v>5.0450450450450449E-2</v>
      </c>
      <c r="AA104">
        <f t="shared" si="17"/>
        <v>1.4471580313422192</v>
      </c>
      <c r="AB104">
        <f t="shared" si="18"/>
        <v>1.2971349517804571</v>
      </c>
      <c r="AC104">
        <f>SUM($AB$2:AB104)</f>
        <v>51.923944906720578</v>
      </c>
      <c r="AD104">
        <f t="shared" si="19"/>
        <v>0.50411596996816099</v>
      </c>
      <c r="AE104">
        <v>103</v>
      </c>
    </row>
    <row r="105" spans="25:31" x14ac:dyDescent="0.3">
      <c r="Y105">
        <v>28</v>
      </c>
      <c r="Z105">
        <f t="shared" si="16"/>
        <v>5.0450450450450449E-2</v>
      </c>
      <c r="AA105">
        <f t="shared" si="17"/>
        <v>1.4471580313422192</v>
      </c>
      <c r="AB105">
        <f t="shared" si="18"/>
        <v>1.2971349517804571</v>
      </c>
      <c r="AC105">
        <f>SUM($AB$2:AB105)</f>
        <v>53.221079858501035</v>
      </c>
      <c r="AD105">
        <f t="shared" si="19"/>
        <v>0.51174115248558683</v>
      </c>
      <c r="AE105">
        <v>104</v>
      </c>
    </row>
    <row r="106" spans="25:31" x14ac:dyDescent="0.3">
      <c r="Y106">
        <v>28</v>
      </c>
      <c r="Z106">
        <f t="shared" si="16"/>
        <v>5.0450450450450449E-2</v>
      </c>
      <c r="AA106">
        <f t="shared" si="17"/>
        <v>1.4471580313422192</v>
      </c>
      <c r="AB106">
        <f t="shared" si="18"/>
        <v>1.2971349517804571</v>
      </c>
      <c r="AC106">
        <f>SUM($AB$2:AB106)</f>
        <v>54.518214810281492</v>
      </c>
      <c r="AD106">
        <f t="shared" si="19"/>
        <v>0.51922109343125233</v>
      </c>
      <c r="AE106">
        <v>105</v>
      </c>
    </row>
    <row r="107" spans="25:31" x14ac:dyDescent="0.3">
      <c r="Y107">
        <v>27</v>
      </c>
      <c r="Z107">
        <f t="shared" si="16"/>
        <v>4.8648648648648651E-2</v>
      </c>
      <c r="AA107">
        <f t="shared" si="17"/>
        <v>1.4313637641589874</v>
      </c>
      <c r="AB107">
        <f t="shared" si="18"/>
        <v>1.312929218963689</v>
      </c>
      <c r="AC107">
        <f>SUM($AB$2:AB107)</f>
        <v>55.831144029245181</v>
      </c>
      <c r="AD107">
        <f t="shared" si="19"/>
        <v>0.52670890593627528</v>
      </c>
      <c r="AE107">
        <v>106</v>
      </c>
    </row>
    <row r="108" spans="25:31" x14ac:dyDescent="0.3">
      <c r="Y108">
        <v>26</v>
      </c>
      <c r="Z108">
        <f t="shared" si="16"/>
        <v>4.6846846846846847E-2</v>
      </c>
      <c r="AA108">
        <f t="shared" si="17"/>
        <v>1.414973347970818</v>
      </c>
      <c r="AB108">
        <f t="shared" si="18"/>
        <v>1.3293196351518584</v>
      </c>
      <c r="AC108">
        <f>SUM($AB$2:AB108)</f>
        <v>57.160463664397042</v>
      </c>
      <c r="AD108">
        <f t="shared" si="19"/>
        <v>0.53420994078875739</v>
      </c>
      <c r="AE108">
        <v>107</v>
      </c>
    </row>
    <row r="109" spans="25:31" x14ac:dyDescent="0.3">
      <c r="Y109">
        <v>25</v>
      </c>
      <c r="Z109">
        <f t="shared" si="16"/>
        <v>4.5045045045045043E-2</v>
      </c>
      <c r="AA109">
        <f t="shared" si="17"/>
        <v>1.3979400086720377</v>
      </c>
      <c r="AB109">
        <f t="shared" si="18"/>
        <v>1.3463529744506386</v>
      </c>
      <c r="AC109">
        <f>SUM($AB$2:AB109)</f>
        <v>58.506816638847681</v>
      </c>
      <c r="AD109">
        <f t="shared" si="19"/>
        <v>0.54172978369303404</v>
      </c>
      <c r="AE109">
        <v>108</v>
      </c>
    </row>
    <row r="110" spans="25:31" x14ac:dyDescent="0.3">
      <c r="Y110">
        <v>25</v>
      </c>
      <c r="Z110">
        <f t="shared" si="16"/>
        <v>4.5045045045045043E-2</v>
      </c>
      <c r="AA110">
        <f t="shared" si="17"/>
        <v>1.3979400086720377</v>
      </c>
      <c r="AB110">
        <f t="shared" si="18"/>
        <v>1.3463529744506386</v>
      </c>
      <c r="AC110">
        <f>SUM($AB$2:AB110)</f>
        <v>59.85316961329832</v>
      </c>
      <c r="AD110">
        <f t="shared" si="19"/>
        <v>0.54911164782842492</v>
      </c>
      <c r="AE110">
        <v>109</v>
      </c>
    </row>
    <row r="111" spans="25:31" x14ac:dyDescent="0.3">
      <c r="Y111">
        <v>24</v>
      </c>
      <c r="Z111">
        <f t="shared" si="16"/>
        <v>4.3243243243243246E-2</v>
      </c>
      <c r="AA111">
        <f t="shared" si="17"/>
        <v>1.3802112417116059</v>
      </c>
      <c r="AB111">
        <f t="shared" si="18"/>
        <v>1.3640817414110704</v>
      </c>
      <c r="AC111">
        <f>SUM($AB$2:AB111)</f>
        <v>61.21725135470939</v>
      </c>
      <c r="AD111">
        <f t="shared" si="19"/>
        <v>0.55652046686099443</v>
      </c>
      <c r="AE111">
        <v>110</v>
      </c>
    </row>
    <row r="112" spans="25:31" x14ac:dyDescent="0.3">
      <c r="Y112">
        <v>21</v>
      </c>
      <c r="Z112">
        <f t="shared" si="16"/>
        <v>3.783783783783784E-2</v>
      </c>
      <c r="AA112">
        <f t="shared" si="17"/>
        <v>1.3222192947339193</v>
      </c>
      <c r="AB112">
        <f t="shared" si="18"/>
        <v>1.422073688388757</v>
      </c>
      <c r="AC112">
        <f>SUM($AB$2:AB112)</f>
        <v>62.639325043098147</v>
      </c>
      <c r="AD112">
        <f t="shared" si="19"/>
        <v>0.56431824363151484</v>
      </c>
      <c r="AE112">
        <v>111</v>
      </c>
    </row>
    <row r="113" spans="25:31" x14ac:dyDescent="0.3">
      <c r="Y113">
        <v>20</v>
      </c>
      <c r="Z113">
        <f t="shared" si="16"/>
        <v>3.6036036036036036E-2</v>
      </c>
      <c r="AA113">
        <f t="shared" si="17"/>
        <v>1.3010299956639813</v>
      </c>
      <c r="AB113">
        <f t="shared" si="18"/>
        <v>1.4432629874586951</v>
      </c>
      <c r="AC113">
        <f>SUM($AB$2:AB113)</f>
        <v>64.082588030556849</v>
      </c>
      <c r="AD113">
        <f t="shared" si="19"/>
        <v>0.57216596455854329</v>
      </c>
      <c r="AE113">
        <v>112</v>
      </c>
    </row>
    <row r="114" spans="25:31" x14ac:dyDescent="0.3">
      <c r="Y114">
        <v>19</v>
      </c>
      <c r="Z114">
        <f t="shared" si="16"/>
        <v>3.4234234234234232E-2</v>
      </c>
      <c r="AA114">
        <f t="shared" si="17"/>
        <v>1.2787536009528289</v>
      </c>
      <c r="AB114">
        <f t="shared" si="18"/>
        <v>1.4655393821698475</v>
      </c>
      <c r="AC114">
        <f>SUM($AB$2:AB114)</f>
        <v>65.5481274127267</v>
      </c>
      <c r="AD114">
        <f t="shared" si="19"/>
        <v>0.58007192400643093</v>
      </c>
      <c r="AE114">
        <v>113</v>
      </c>
    </row>
    <row r="115" spans="25:31" x14ac:dyDescent="0.3">
      <c r="Y115">
        <v>19</v>
      </c>
      <c r="Z115">
        <f t="shared" si="16"/>
        <v>3.4234234234234232E-2</v>
      </c>
      <c r="AA115">
        <f t="shared" si="17"/>
        <v>1.2787536009528289</v>
      </c>
      <c r="AB115">
        <f t="shared" si="18"/>
        <v>1.4655393821698475</v>
      </c>
      <c r="AC115">
        <f>SUM($AB$2:AB115)</f>
        <v>67.013666794896551</v>
      </c>
      <c r="AD115">
        <f t="shared" si="19"/>
        <v>0.58783918241137323</v>
      </c>
      <c r="AE115">
        <v>114</v>
      </c>
    </row>
    <row r="116" spans="25:31" x14ac:dyDescent="0.3">
      <c r="Y116">
        <v>17</v>
      </c>
      <c r="Z116">
        <f t="shared" si="16"/>
        <v>3.063063063063063E-2</v>
      </c>
      <c r="AA116">
        <f t="shared" si="17"/>
        <v>1.2304489213782739</v>
      </c>
      <c r="AB116">
        <f t="shared" si="18"/>
        <v>1.5138440617444024</v>
      </c>
      <c r="AC116">
        <f>SUM($AB$2:AB116)</f>
        <v>68.527510856640959</v>
      </c>
      <c r="AD116">
        <f t="shared" si="19"/>
        <v>0.59589139875339969</v>
      </c>
      <c r="AE116">
        <v>115</v>
      </c>
    </row>
    <row r="117" spans="25:31" x14ac:dyDescent="0.3">
      <c r="Y117">
        <v>17</v>
      </c>
      <c r="Z117">
        <f t="shared" si="16"/>
        <v>3.063063063063063E-2</v>
      </c>
      <c r="AA117">
        <f t="shared" si="17"/>
        <v>1.2304489213782739</v>
      </c>
      <c r="AB117">
        <f t="shared" si="18"/>
        <v>1.5138440617444024</v>
      </c>
      <c r="AC117">
        <f>SUM($AB$2:AB117)</f>
        <v>70.041354918385366</v>
      </c>
      <c r="AD117">
        <f t="shared" si="19"/>
        <v>0.60380478377918423</v>
      </c>
      <c r="AE117">
        <v>116</v>
      </c>
    </row>
    <row r="118" spans="25:31" x14ac:dyDescent="0.3">
      <c r="Y118">
        <v>17</v>
      </c>
      <c r="Z118">
        <f t="shared" si="16"/>
        <v>3.063063063063063E-2</v>
      </c>
      <c r="AA118">
        <f t="shared" si="17"/>
        <v>1.2304489213782739</v>
      </c>
      <c r="AB118">
        <f t="shared" si="18"/>
        <v>1.5138440617444024</v>
      </c>
      <c r="AC118">
        <f>SUM($AB$2:AB118)</f>
        <v>71.555198980129774</v>
      </c>
      <c r="AD118">
        <f t="shared" si="19"/>
        <v>0.61158289726606641</v>
      </c>
      <c r="AE118">
        <v>117</v>
      </c>
    </row>
    <row r="119" spans="25:31" x14ac:dyDescent="0.3">
      <c r="Y119">
        <v>14</v>
      </c>
      <c r="Z119">
        <f t="shared" si="16"/>
        <v>2.5225225225225224E-2</v>
      </c>
      <c r="AA119">
        <f t="shared" si="17"/>
        <v>1.146128035678238</v>
      </c>
      <c r="AB119">
        <f t="shared" si="18"/>
        <v>1.5981649474444384</v>
      </c>
      <c r="AC119">
        <f>SUM($AB$2:AB119)</f>
        <v>73.153363927574219</v>
      </c>
      <c r="AD119">
        <f t="shared" si="19"/>
        <v>0.61994376209808655</v>
      </c>
      <c r="AE119">
        <v>118</v>
      </c>
    </row>
    <row r="120" spans="25:31" x14ac:dyDescent="0.3">
      <c r="Y120">
        <v>14</v>
      </c>
      <c r="Z120">
        <f t="shared" si="16"/>
        <v>2.5225225225225224E-2</v>
      </c>
      <c r="AA120">
        <f t="shared" si="17"/>
        <v>1.146128035678238</v>
      </c>
      <c r="AB120">
        <f t="shared" si="18"/>
        <v>1.5981649474444384</v>
      </c>
      <c r="AC120">
        <f>SUM($AB$2:AB120)</f>
        <v>74.751528875018664</v>
      </c>
      <c r="AD120">
        <f t="shared" si="19"/>
        <v>0.62816410819343416</v>
      </c>
      <c r="AE120">
        <v>119</v>
      </c>
    </row>
    <row r="121" spans="25:31" x14ac:dyDescent="0.3">
      <c r="Y121">
        <v>13</v>
      </c>
      <c r="Z121">
        <f t="shared" si="16"/>
        <v>2.3423423423423424E-2</v>
      </c>
      <c r="AA121">
        <f t="shared" si="17"/>
        <v>1.1139433523068367</v>
      </c>
      <c r="AB121">
        <f t="shared" si="18"/>
        <v>1.6303496308158396</v>
      </c>
      <c r="AC121">
        <f>SUM($AB$2:AB121)</f>
        <v>76.381878505834507</v>
      </c>
      <c r="AD121">
        <f t="shared" si="19"/>
        <v>0.63651565421528755</v>
      </c>
      <c r="AE121">
        <v>120</v>
      </c>
    </row>
    <row r="122" spans="25:31" x14ac:dyDescent="0.3">
      <c r="Y122">
        <v>10</v>
      </c>
      <c r="Z122">
        <f t="shared" si="16"/>
        <v>1.8018018018018018E-2</v>
      </c>
      <c r="AA122">
        <f t="shared" si="17"/>
        <v>1</v>
      </c>
      <c r="AB122">
        <f t="shared" si="18"/>
        <v>1.7442929831226763</v>
      </c>
      <c r="AC122">
        <f>SUM($AB$2:AB122)</f>
        <v>78.126171488957183</v>
      </c>
      <c r="AD122">
        <f t="shared" si="19"/>
        <v>0.64567083875171227</v>
      </c>
      <c r="AE122">
        <v>121</v>
      </c>
    </row>
    <row r="123" spans="25:31" x14ac:dyDescent="0.3">
      <c r="Y123">
        <v>10</v>
      </c>
      <c r="Z123">
        <f t="shared" si="16"/>
        <v>1.8018018018018018E-2</v>
      </c>
      <c r="AA123">
        <f t="shared" si="17"/>
        <v>1</v>
      </c>
      <c r="AB123">
        <f t="shared" si="18"/>
        <v>1.7442929831226763</v>
      </c>
      <c r="AC123">
        <f>SUM($AB$2:AB123)</f>
        <v>79.87046447207986</v>
      </c>
      <c r="AD123">
        <f t="shared" si="19"/>
        <v>0.65467593829573656</v>
      </c>
      <c r="AE123">
        <v>122</v>
      </c>
    </row>
    <row r="124" spans="25:31" x14ac:dyDescent="0.3">
      <c r="Y124">
        <v>10</v>
      </c>
      <c r="Z124">
        <f t="shared" si="16"/>
        <v>1.8018018018018018E-2</v>
      </c>
      <c r="AA124">
        <f t="shared" si="17"/>
        <v>1</v>
      </c>
      <c r="AB124">
        <f t="shared" si="18"/>
        <v>1.7442929831226763</v>
      </c>
      <c r="AC124">
        <f>SUM($AB$2:AB124)</f>
        <v>81.614757455202536</v>
      </c>
      <c r="AD124">
        <f t="shared" si="19"/>
        <v>0.66353461345693121</v>
      </c>
      <c r="AE124">
        <v>123</v>
      </c>
    </row>
    <row r="125" spans="25:31" x14ac:dyDescent="0.3">
      <c r="Y125">
        <v>8</v>
      </c>
      <c r="Z125">
        <f t="shared" si="16"/>
        <v>1.4414414414414415E-2</v>
      </c>
      <c r="AA125">
        <f t="shared" si="17"/>
        <v>0.90308998699194354</v>
      </c>
      <c r="AB125">
        <f t="shared" si="18"/>
        <v>1.8412029961307328</v>
      </c>
      <c r="AC125">
        <f>SUM($AB$2:AB125)</f>
        <v>83.455960451333269</v>
      </c>
      <c r="AD125">
        <f t="shared" si="19"/>
        <v>0.67303193912365544</v>
      </c>
      <c r="AE125">
        <v>124</v>
      </c>
    </row>
    <row r="126" spans="25:31" x14ac:dyDescent="0.3">
      <c r="Y126">
        <v>8</v>
      </c>
      <c r="Z126">
        <f t="shared" si="16"/>
        <v>1.4414414414414415E-2</v>
      </c>
      <c r="AA126">
        <f t="shared" si="17"/>
        <v>0.90308998699194354</v>
      </c>
      <c r="AB126">
        <f t="shared" si="18"/>
        <v>1.8412029961307328</v>
      </c>
      <c r="AC126">
        <f>SUM($AB$2:AB126)</f>
        <v>85.297163447464001</v>
      </c>
      <c r="AD126">
        <f t="shared" si="19"/>
        <v>0.68237730757971204</v>
      </c>
      <c r="AE126">
        <v>125</v>
      </c>
    </row>
    <row r="127" spans="25:31" x14ac:dyDescent="0.3">
      <c r="Y127">
        <v>8</v>
      </c>
      <c r="Z127">
        <f t="shared" si="16"/>
        <v>1.4414414414414415E-2</v>
      </c>
      <c r="AA127">
        <f t="shared" si="17"/>
        <v>0.90308998699194354</v>
      </c>
      <c r="AB127">
        <f t="shared" si="18"/>
        <v>1.8412029961307328</v>
      </c>
      <c r="AC127">
        <f>SUM($AB$2:AB127)</f>
        <v>87.138366443594734</v>
      </c>
      <c r="AD127">
        <f t="shared" si="19"/>
        <v>0.69157433685392644</v>
      </c>
      <c r="AE127">
        <v>126</v>
      </c>
    </row>
    <row r="128" spans="25:31" x14ac:dyDescent="0.3">
      <c r="Y128">
        <v>8</v>
      </c>
      <c r="Z128">
        <f t="shared" si="16"/>
        <v>1.4414414414414415E-2</v>
      </c>
      <c r="AA128">
        <f t="shared" si="17"/>
        <v>0.90308998699194354</v>
      </c>
      <c r="AB128">
        <f t="shared" si="18"/>
        <v>1.8412029961307328</v>
      </c>
      <c r="AC128">
        <f>SUM($AB$2:AB128)</f>
        <v>88.979569439725466</v>
      </c>
      <c r="AD128">
        <f t="shared" si="19"/>
        <v>0.70062653102146033</v>
      </c>
      <c r="AE128">
        <v>127</v>
      </c>
    </row>
    <row r="129" spans="25:31" x14ac:dyDescent="0.3">
      <c r="Y129">
        <v>8</v>
      </c>
      <c r="Z129">
        <f t="shared" si="16"/>
        <v>1.4414414414414415E-2</v>
      </c>
      <c r="AA129">
        <f t="shared" si="17"/>
        <v>0.90308998699194354</v>
      </c>
      <c r="AB129">
        <f t="shared" si="18"/>
        <v>1.8412029961307328</v>
      </c>
      <c r="AC129">
        <f>SUM($AB$2:AB129)</f>
        <v>90.820772435856199</v>
      </c>
      <c r="AD129">
        <f t="shared" si="19"/>
        <v>0.70953728465512655</v>
      </c>
      <c r="AE129">
        <v>128</v>
      </c>
    </row>
    <row r="130" spans="25:31" x14ac:dyDescent="0.3">
      <c r="Y130">
        <v>6</v>
      </c>
      <c r="Z130">
        <f t="shared" ref="Z130:Z157" si="20">Y130/MAX($Y$1:$Y$157)</f>
        <v>1.0810810810810811E-2</v>
      </c>
      <c r="AA130">
        <f t="shared" ref="AA130:AA157" si="21">LOG(Y130)</f>
        <v>0.77815125038364363</v>
      </c>
      <c r="AB130">
        <f t="shared" si="18"/>
        <v>1.9661417327390327</v>
      </c>
      <c r="AC130">
        <f>SUM($AB$2:AB130)</f>
        <v>92.786914168595231</v>
      </c>
      <c r="AD130">
        <f t="shared" si="19"/>
        <v>0.71927840440771496</v>
      </c>
      <c r="AE130">
        <v>129</v>
      </c>
    </row>
    <row r="131" spans="25:31" x14ac:dyDescent="0.3">
      <c r="Y131">
        <v>6</v>
      </c>
      <c r="Z131">
        <f t="shared" si="20"/>
        <v>1.0810810810810811E-2</v>
      </c>
      <c r="AA131">
        <f t="shared" si="21"/>
        <v>0.77815125038364363</v>
      </c>
      <c r="AB131">
        <f t="shared" ref="AB131:AB157" si="22">$AA$1-AA131</f>
        <v>1.9661417327390327</v>
      </c>
      <c r="AC131">
        <f>SUM($AB$2:AB131)</f>
        <v>94.753055901334264</v>
      </c>
      <c r="AD131">
        <f t="shared" ref="AD131:AD157" si="23">AC131/AE131</f>
        <v>0.72886966077949433</v>
      </c>
      <c r="AE131">
        <v>130</v>
      </c>
    </row>
    <row r="132" spans="25:31" x14ac:dyDescent="0.3">
      <c r="Y132">
        <v>6</v>
      </c>
      <c r="Z132">
        <f t="shared" si="20"/>
        <v>1.0810810810810811E-2</v>
      </c>
      <c r="AA132">
        <f t="shared" si="21"/>
        <v>0.77815125038364363</v>
      </c>
      <c r="AB132">
        <f t="shared" si="22"/>
        <v>1.9661417327390327</v>
      </c>
      <c r="AC132">
        <f>SUM($AB$2:AB132)</f>
        <v>96.719197634073296</v>
      </c>
      <c r="AD132">
        <f t="shared" si="23"/>
        <v>0.73831448575628467</v>
      </c>
      <c r="AE132">
        <v>131</v>
      </c>
    </row>
    <row r="133" spans="25:31" x14ac:dyDescent="0.3">
      <c r="Y133">
        <v>5</v>
      </c>
      <c r="Z133">
        <f t="shared" si="20"/>
        <v>9.0090090090090089E-3</v>
      </c>
      <c r="AA133">
        <f t="shared" si="21"/>
        <v>0.69897000433601886</v>
      </c>
      <c r="AB133">
        <f t="shared" si="22"/>
        <v>2.0453229787866576</v>
      </c>
      <c r="AC133">
        <f>SUM($AB$2:AB133)</f>
        <v>98.764520612859954</v>
      </c>
      <c r="AD133">
        <f t="shared" si="23"/>
        <v>0.74821606524893902</v>
      </c>
      <c r="AE133">
        <v>132</v>
      </c>
    </row>
    <row r="134" spans="25:31" x14ac:dyDescent="0.3">
      <c r="Y134">
        <v>4</v>
      </c>
      <c r="Z134">
        <f t="shared" si="20"/>
        <v>7.2072072072072073E-3</v>
      </c>
      <c r="AA134">
        <f t="shared" si="21"/>
        <v>0.6020599913279624</v>
      </c>
      <c r="AB134">
        <f t="shared" si="22"/>
        <v>2.1422329917947138</v>
      </c>
      <c r="AC134">
        <f>SUM($AB$2:AB134)</f>
        <v>100.90675360465467</v>
      </c>
      <c r="AD134">
        <f t="shared" si="23"/>
        <v>0.75869739552371929</v>
      </c>
      <c r="AE134">
        <v>133</v>
      </c>
    </row>
    <row r="135" spans="25:31" x14ac:dyDescent="0.3">
      <c r="Y135">
        <v>4</v>
      </c>
      <c r="Z135">
        <f t="shared" si="20"/>
        <v>7.2072072072072073E-3</v>
      </c>
      <c r="AA135">
        <f t="shared" si="21"/>
        <v>0.6020599913279624</v>
      </c>
      <c r="AB135">
        <f t="shared" si="22"/>
        <v>2.1422329917947138</v>
      </c>
      <c r="AC135">
        <f>SUM($AB$2:AB135)</f>
        <v>103.04898659644938</v>
      </c>
      <c r="AD135">
        <f t="shared" si="23"/>
        <v>0.76902228803320438</v>
      </c>
      <c r="AE135">
        <v>134</v>
      </c>
    </row>
    <row r="136" spans="25:31" x14ac:dyDescent="0.3">
      <c r="Y136">
        <v>4</v>
      </c>
      <c r="Z136">
        <f t="shared" si="20"/>
        <v>7.2072072072072073E-3</v>
      </c>
      <c r="AA136">
        <f t="shared" si="21"/>
        <v>0.6020599913279624</v>
      </c>
      <c r="AB136">
        <f t="shared" si="22"/>
        <v>2.1422329917947138</v>
      </c>
      <c r="AC136">
        <f>SUM($AB$2:AB136)</f>
        <v>105.1912195882441</v>
      </c>
      <c r="AD136">
        <f t="shared" si="23"/>
        <v>0.77919421917217846</v>
      </c>
      <c r="AE136">
        <v>135</v>
      </c>
    </row>
    <row r="137" spans="25:31" x14ac:dyDescent="0.3">
      <c r="Y137">
        <v>4</v>
      </c>
      <c r="Z137">
        <f t="shared" si="20"/>
        <v>7.2072072072072073E-3</v>
      </c>
      <c r="AA137">
        <f t="shared" si="21"/>
        <v>0.6020599913279624</v>
      </c>
      <c r="AB137">
        <f t="shared" si="22"/>
        <v>2.1422329917947138</v>
      </c>
      <c r="AC137">
        <f>SUM($AB$2:AB137)</f>
        <v>107.33345258003881</v>
      </c>
      <c r="AD137">
        <f t="shared" si="23"/>
        <v>0.78921656308852062</v>
      </c>
      <c r="AE137">
        <v>136</v>
      </c>
    </row>
    <row r="138" spans="25:31" x14ac:dyDescent="0.3">
      <c r="Y138">
        <v>3</v>
      </c>
      <c r="Z138">
        <f t="shared" si="20"/>
        <v>5.4054054054054057E-3</v>
      </c>
      <c r="AA138">
        <f t="shared" si="21"/>
        <v>0.47712125471966244</v>
      </c>
      <c r="AB138">
        <f t="shared" si="22"/>
        <v>2.2671717284030137</v>
      </c>
      <c r="AC138">
        <f>SUM($AB$2:AB138)</f>
        <v>109.60062430844182</v>
      </c>
      <c r="AD138">
        <f t="shared" si="23"/>
        <v>0.80000455699592576</v>
      </c>
      <c r="AE138">
        <v>137</v>
      </c>
    </row>
    <row r="139" spans="25:31" x14ac:dyDescent="0.3">
      <c r="Y139">
        <v>3</v>
      </c>
      <c r="Z139">
        <f t="shared" si="20"/>
        <v>5.4054054054054057E-3</v>
      </c>
      <c r="AA139">
        <f t="shared" si="21"/>
        <v>0.47712125471966244</v>
      </c>
      <c r="AB139">
        <f t="shared" si="22"/>
        <v>2.2671717284030137</v>
      </c>
      <c r="AC139">
        <f>SUM($AB$2:AB139)</f>
        <v>111.86779603684484</v>
      </c>
      <c r="AD139">
        <f t="shared" si="23"/>
        <v>0.8106362031655423</v>
      </c>
      <c r="AE139">
        <v>138</v>
      </c>
    </row>
    <row r="140" spans="25:31" x14ac:dyDescent="0.3">
      <c r="Y140">
        <v>3</v>
      </c>
      <c r="Z140">
        <f t="shared" si="20"/>
        <v>5.4054054054054057E-3</v>
      </c>
      <c r="AA140">
        <f t="shared" si="21"/>
        <v>0.47712125471966244</v>
      </c>
      <c r="AB140">
        <f t="shared" si="22"/>
        <v>2.2671717284030137</v>
      </c>
      <c r="AC140">
        <f>SUM($AB$2:AB140)</f>
        <v>114.13496776524785</v>
      </c>
      <c r="AD140">
        <f t="shared" si="23"/>
        <v>0.82111487600897737</v>
      </c>
      <c r="AE140">
        <v>139</v>
      </c>
    </row>
    <row r="141" spans="25:31" x14ac:dyDescent="0.3">
      <c r="Y141">
        <v>3</v>
      </c>
      <c r="Z141">
        <f t="shared" si="20"/>
        <v>5.4054054054054057E-3</v>
      </c>
      <c r="AA141">
        <f t="shared" si="21"/>
        <v>0.47712125471966244</v>
      </c>
      <c r="AB141">
        <f t="shared" si="22"/>
        <v>2.2671717284030137</v>
      </c>
      <c r="AC141">
        <f>SUM($AB$2:AB141)</f>
        <v>116.40213949365086</v>
      </c>
      <c r="AD141">
        <f t="shared" si="23"/>
        <v>0.83144385352607764</v>
      </c>
      <c r="AE141">
        <v>140</v>
      </c>
    </row>
    <row r="142" spans="25:31" x14ac:dyDescent="0.3">
      <c r="Y142">
        <v>2</v>
      </c>
      <c r="Z142">
        <f t="shared" si="20"/>
        <v>3.6036036036036037E-3</v>
      </c>
      <c r="AA142">
        <f t="shared" si="21"/>
        <v>0.3010299956639812</v>
      </c>
      <c r="AB142">
        <f t="shared" si="22"/>
        <v>2.4432629874586951</v>
      </c>
      <c r="AC142">
        <f>SUM($AB$2:AB142)</f>
        <v>118.84540248110956</v>
      </c>
      <c r="AD142">
        <f t="shared" si="23"/>
        <v>0.84287519490148621</v>
      </c>
      <c r="AE142">
        <v>141</v>
      </c>
    </row>
    <row r="143" spans="25:31" x14ac:dyDescent="0.3">
      <c r="Y143">
        <v>2</v>
      </c>
      <c r="Z143">
        <f t="shared" si="20"/>
        <v>3.6036036036036037E-3</v>
      </c>
      <c r="AA143">
        <f t="shared" si="21"/>
        <v>0.3010299956639812</v>
      </c>
      <c r="AB143">
        <f t="shared" si="22"/>
        <v>2.4432629874586951</v>
      </c>
      <c r="AC143">
        <f>SUM($AB$2:AB143)</f>
        <v>121.28866546856825</v>
      </c>
      <c r="AD143">
        <f t="shared" si="23"/>
        <v>0.85414553146879058</v>
      </c>
      <c r="AE143">
        <v>142</v>
      </c>
    </row>
    <row r="144" spans="25:31" x14ac:dyDescent="0.3">
      <c r="Y144">
        <v>2</v>
      </c>
      <c r="Z144">
        <f t="shared" si="20"/>
        <v>3.6036036036036037E-3</v>
      </c>
      <c r="AA144">
        <f t="shared" si="21"/>
        <v>0.3010299956639812</v>
      </c>
      <c r="AB144">
        <f t="shared" si="22"/>
        <v>2.4432629874586951</v>
      </c>
      <c r="AC144">
        <f>SUM($AB$2:AB144)</f>
        <v>123.73192845602695</v>
      </c>
      <c r="AD144">
        <f t="shared" si="23"/>
        <v>0.86525824095123738</v>
      </c>
      <c r="AE144">
        <v>143</v>
      </c>
    </row>
    <row r="145" spans="25:31" x14ac:dyDescent="0.3">
      <c r="Y145">
        <v>2</v>
      </c>
      <c r="Z145">
        <f t="shared" si="20"/>
        <v>3.6036036036036037E-3</v>
      </c>
      <c r="AA145">
        <f t="shared" si="21"/>
        <v>0.3010299956639812</v>
      </c>
      <c r="AB145">
        <f t="shared" si="22"/>
        <v>2.4432629874586951</v>
      </c>
      <c r="AC145">
        <f>SUM($AB$2:AB145)</f>
        <v>126.17519144348564</v>
      </c>
      <c r="AD145">
        <f t="shared" si="23"/>
        <v>0.87621660724642814</v>
      </c>
      <c r="AE145">
        <v>144</v>
      </c>
    </row>
    <row r="146" spans="25:31" x14ac:dyDescent="0.3">
      <c r="Y146">
        <v>2</v>
      </c>
      <c r="Z146">
        <f t="shared" si="20"/>
        <v>3.6036036036036037E-3</v>
      </c>
      <c r="AA146">
        <f t="shared" si="21"/>
        <v>0.3010299956639812</v>
      </c>
      <c r="AB146">
        <f t="shared" si="22"/>
        <v>2.4432629874586951</v>
      </c>
      <c r="AC146">
        <f>SUM($AB$2:AB146)</f>
        <v>128.61845443094433</v>
      </c>
      <c r="AD146">
        <f t="shared" si="23"/>
        <v>0.88702382366168497</v>
      </c>
      <c r="AE146">
        <v>145</v>
      </c>
    </row>
    <row r="147" spans="25:31" x14ac:dyDescent="0.3">
      <c r="Y147">
        <v>2</v>
      </c>
      <c r="Z147">
        <f t="shared" si="20"/>
        <v>3.6036036036036037E-3</v>
      </c>
      <c r="AA147">
        <f t="shared" si="21"/>
        <v>0.3010299956639812</v>
      </c>
      <c r="AB147">
        <f t="shared" si="22"/>
        <v>2.4432629874586951</v>
      </c>
      <c r="AC147">
        <f>SUM($AB$2:AB147)</f>
        <v>131.06171741840302</v>
      </c>
      <c r="AD147">
        <f t="shared" si="23"/>
        <v>0.89768299601645907</v>
      </c>
      <c r="AE147">
        <v>146</v>
      </c>
    </row>
    <row r="148" spans="25:31" x14ac:dyDescent="0.3">
      <c r="Y148">
        <v>2</v>
      </c>
      <c r="Z148">
        <f t="shared" si="20"/>
        <v>3.6036036036036037E-3</v>
      </c>
      <c r="AA148">
        <f t="shared" si="21"/>
        <v>0.3010299956639812</v>
      </c>
      <c r="AB148">
        <f t="shared" si="22"/>
        <v>2.4432629874586951</v>
      </c>
      <c r="AC148">
        <f>SUM($AB$2:AB148)</f>
        <v>133.50498040586172</v>
      </c>
      <c r="AD148">
        <f t="shared" si="23"/>
        <v>0.90819714561810694</v>
      </c>
      <c r="AE148">
        <v>147</v>
      </c>
    </row>
    <row r="149" spans="25:31" x14ac:dyDescent="0.3">
      <c r="Y149">
        <v>2</v>
      </c>
      <c r="Z149">
        <f t="shared" si="20"/>
        <v>3.6036036036036037E-3</v>
      </c>
      <c r="AA149">
        <f t="shared" si="21"/>
        <v>0.3010299956639812</v>
      </c>
      <c r="AB149">
        <f t="shared" si="22"/>
        <v>2.4432629874586951</v>
      </c>
      <c r="AC149">
        <f>SUM($AB$2:AB149)</f>
        <v>135.94824339332041</v>
      </c>
      <c r="AD149">
        <f t="shared" si="23"/>
        <v>0.9185692121170298</v>
      </c>
      <c r="AE149">
        <v>148</v>
      </c>
    </row>
    <row r="150" spans="25:31" x14ac:dyDescent="0.3">
      <c r="Y150">
        <v>2</v>
      </c>
      <c r="Z150">
        <f t="shared" si="20"/>
        <v>3.6036036036036037E-3</v>
      </c>
      <c r="AA150">
        <f t="shared" si="21"/>
        <v>0.3010299956639812</v>
      </c>
      <c r="AB150">
        <f t="shared" si="22"/>
        <v>2.4432629874586951</v>
      </c>
      <c r="AC150">
        <f>SUM($AB$2:AB150)</f>
        <v>138.39150638077911</v>
      </c>
      <c r="AD150">
        <f t="shared" si="23"/>
        <v>0.92880205624683965</v>
      </c>
      <c r="AE150">
        <v>149</v>
      </c>
    </row>
    <row r="151" spans="25:31" x14ac:dyDescent="0.3">
      <c r="Y151">
        <v>1</v>
      </c>
      <c r="Z151">
        <f t="shared" si="20"/>
        <v>1.8018018018018018E-3</v>
      </c>
      <c r="AA151">
        <f t="shared" si="21"/>
        <v>0</v>
      </c>
      <c r="AB151">
        <f t="shared" si="22"/>
        <v>2.7442929831226763</v>
      </c>
      <c r="AC151">
        <f>SUM($AB$2:AB151)</f>
        <v>141.13579936390178</v>
      </c>
      <c r="AD151">
        <f t="shared" si="23"/>
        <v>0.94090532909267854</v>
      </c>
      <c r="AE151">
        <v>150</v>
      </c>
    </row>
    <row r="152" spans="25:31" x14ac:dyDescent="0.3">
      <c r="Y152">
        <v>1</v>
      </c>
      <c r="Z152">
        <f t="shared" si="20"/>
        <v>1.8018018018018018E-3</v>
      </c>
      <c r="AA152">
        <f t="shared" si="21"/>
        <v>0</v>
      </c>
      <c r="AB152">
        <f t="shared" si="22"/>
        <v>2.7442929831226763</v>
      </c>
      <c r="AC152">
        <f>SUM($AB$2:AB152)</f>
        <v>143.88009234702446</v>
      </c>
      <c r="AD152">
        <f t="shared" si="23"/>
        <v>0.95284829368890367</v>
      </c>
      <c r="AE152">
        <v>151</v>
      </c>
    </row>
    <row r="153" spans="25:31" x14ac:dyDescent="0.3">
      <c r="Y153">
        <v>1</v>
      </c>
      <c r="Z153">
        <f t="shared" si="20"/>
        <v>1.8018018018018018E-3</v>
      </c>
      <c r="AA153">
        <f t="shared" si="21"/>
        <v>0</v>
      </c>
      <c r="AB153">
        <f t="shared" si="22"/>
        <v>2.7442929831226763</v>
      </c>
      <c r="AC153">
        <f>SUM($AB$2:AB153)</f>
        <v>146.62438533014713</v>
      </c>
      <c r="AD153">
        <f t="shared" si="23"/>
        <v>0.96463411401412591</v>
      </c>
      <c r="AE153">
        <v>152</v>
      </c>
    </row>
    <row r="154" spans="25:31" x14ac:dyDescent="0.3">
      <c r="Y154">
        <v>1</v>
      </c>
      <c r="Z154">
        <f t="shared" si="20"/>
        <v>1.8018018018018018E-3</v>
      </c>
      <c r="AA154">
        <f t="shared" si="21"/>
        <v>0</v>
      </c>
      <c r="AB154">
        <f t="shared" si="22"/>
        <v>2.7442929831226763</v>
      </c>
      <c r="AC154">
        <f>SUM($AB$2:AB154)</f>
        <v>149.36867831326981</v>
      </c>
      <c r="AD154">
        <f t="shared" si="23"/>
        <v>0.97626587132856091</v>
      </c>
      <c r="AE154">
        <v>153</v>
      </c>
    </row>
    <row r="155" spans="25:31" x14ac:dyDescent="0.3">
      <c r="Y155">
        <v>1</v>
      </c>
      <c r="Z155">
        <f t="shared" si="20"/>
        <v>1.8018018018018018E-3</v>
      </c>
      <c r="AA155">
        <f t="shared" si="21"/>
        <v>0</v>
      </c>
      <c r="AB155">
        <f t="shared" si="22"/>
        <v>2.7442929831226763</v>
      </c>
      <c r="AC155">
        <f>SUM($AB$2:AB155)</f>
        <v>152.11297129639249</v>
      </c>
      <c r="AD155">
        <f t="shared" si="23"/>
        <v>0.98774656685969142</v>
      </c>
      <c r="AE155">
        <v>154</v>
      </c>
    </row>
    <row r="156" spans="25:31" x14ac:dyDescent="0.3">
      <c r="Y156">
        <v>1</v>
      </c>
      <c r="Z156">
        <f t="shared" si="20"/>
        <v>1.8018018018018018E-3</v>
      </c>
      <c r="AA156">
        <f t="shared" si="21"/>
        <v>0</v>
      </c>
      <c r="AB156">
        <f t="shared" si="22"/>
        <v>2.7442929831226763</v>
      </c>
      <c r="AC156">
        <f>SUM($AB$2:AB156)</f>
        <v>154.85726427951516</v>
      </c>
      <c r="AD156">
        <f t="shared" si="23"/>
        <v>0.99907912438396884</v>
      </c>
      <c r="AE156">
        <v>155</v>
      </c>
    </row>
    <row r="157" spans="25:31" x14ac:dyDescent="0.3">
      <c r="Y157">
        <v>1</v>
      </c>
      <c r="Z157">
        <f t="shared" si="20"/>
        <v>1.8018018018018018E-3</v>
      </c>
      <c r="AA157">
        <f t="shared" si="21"/>
        <v>0</v>
      </c>
      <c r="AB157">
        <f t="shared" si="22"/>
        <v>2.7442929831226763</v>
      </c>
      <c r="AC157">
        <f>SUM($AB$2:AB157)</f>
        <v>157.60155726263784</v>
      </c>
      <c r="AD157">
        <f t="shared" si="23"/>
        <v>1.010266392709217</v>
      </c>
      <c r="AE157">
        <v>156</v>
      </c>
    </row>
    <row r="158" spans="25:31" x14ac:dyDescent="0.3">
      <c r="AD158">
        <f>MAX(AD2:AD157)</f>
        <v>1.010266392709217</v>
      </c>
    </row>
    <row r="159" spans="25:31" x14ac:dyDescent="0.3">
      <c r="AD159">
        <f>1/AD158</f>
        <v>0.98983793504039486</v>
      </c>
    </row>
  </sheetData>
  <sortState xmlns:xlrd2="http://schemas.microsoft.com/office/spreadsheetml/2017/richdata2" ref="Y1:Y157">
    <sortCondition descending="1" ref="Y1:Y157"/>
  </sortState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2" x14ac:dyDescent="0.3"/>
  <sheetData>
    <row r="1" spans="1:4" x14ac:dyDescent="0.3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3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3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3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3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3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3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3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3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3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3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3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3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3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3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3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3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3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3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3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3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3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3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3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3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3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3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3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3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3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3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3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3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3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3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3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3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3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3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3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3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3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3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3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3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3">
      <c r="A46">
        <v>2.1739130434782608E-2</v>
      </c>
    </row>
    <row r="47" spans="1:4" x14ac:dyDescent="0.3">
      <c r="B47">
        <f>MEDIAN(B1:B45)</f>
        <v>1.8483405694013133E-2</v>
      </c>
      <c r="C47">
        <f>MEDIAN(C1:C45)</f>
        <v>7.4880213925499622E-3</v>
      </c>
    </row>
    <row r="48" spans="1:4" x14ac:dyDescent="0.3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tabSelected="1" topLeftCell="H1" workbookViewId="0">
      <selection activeCell="X11" sqref="X11"/>
    </sheetView>
  </sheetViews>
  <sheetFormatPr defaultRowHeight="16.2" x14ac:dyDescent="0.3"/>
  <cols>
    <col min="2" max="2" width="9.6640625" bestFit="1" customWidth="1"/>
    <col min="4" max="4" width="9.5546875" bestFit="1" customWidth="1"/>
  </cols>
  <sheetData>
    <row r="1" spans="1:23" x14ac:dyDescent="0.3">
      <c r="A1" t="s">
        <v>9</v>
      </c>
      <c r="G1" t="s">
        <v>8</v>
      </c>
    </row>
    <row r="2" spans="1:23" x14ac:dyDescent="0.3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3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3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3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3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3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3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3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3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3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3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3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3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3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3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3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3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3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3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3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3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3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3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3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3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3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3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3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3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3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3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3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3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3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3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3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3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3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3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3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3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3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3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3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3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3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3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3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3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3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3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3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3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3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3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3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3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3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3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3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3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3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3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3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3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3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3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3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3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3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3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3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3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3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3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3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3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3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3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3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3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3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3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3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3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3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3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3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3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3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3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3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3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3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3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3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3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3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3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3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3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3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3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3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3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3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3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3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3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3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3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3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3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3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3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3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3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3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3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3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3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3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3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3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3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3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3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3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3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3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3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3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3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3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3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3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3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3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3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3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3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3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3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3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3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3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3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3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3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3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3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3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3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3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3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3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3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problem53</vt:lpstr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2026-01-21T07:51:45Z</dcterms:modified>
</cp:coreProperties>
</file>