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E70E866-5302-4A0B-8D90-955504D61478}" xr6:coauthVersionLast="47" xr6:coauthVersionMax="47" xr10:uidLastSave="{00000000-0000-0000-0000-000000000000}"/>
  <bookViews>
    <workbookView xWindow="-120" yWindow="-120" windowWidth="29040" windowHeight="17520" xr2:uid="{3D2EEB68-4B2E-4216-9356-7EABD31A9678}"/>
  </bookViews>
  <sheets>
    <sheet name="problem53" sheetId="1" r:id="rId1"/>
    <sheet name="工作表1" sheetId="2" r:id="rId2"/>
    <sheet name="工作表2" sheetId="3" r:id="rId3"/>
    <sheet name="工作表3" sheetId="5" r:id="rId4"/>
    <sheet name="工作表4" sheetId="6" r:id="rId5"/>
    <sheet name="工作表5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I158" i="1" l="1"/>
  <c r="BI157" i="1"/>
  <c r="BI156" i="1"/>
  <c r="BI155" i="1"/>
  <c r="BI154" i="1"/>
  <c r="BI153" i="1"/>
  <c r="BI152" i="1"/>
  <c r="BI151" i="1"/>
  <c r="BI150" i="1"/>
  <c r="BI149" i="1"/>
  <c r="BI148" i="1"/>
  <c r="BI147" i="1"/>
  <c r="BI146" i="1"/>
  <c r="BI145" i="1"/>
  <c r="BI144" i="1"/>
  <c r="BI143" i="1"/>
  <c r="BI142" i="1"/>
  <c r="BI141" i="1"/>
  <c r="BI140" i="1"/>
  <c r="BI139" i="1"/>
  <c r="BI138" i="1"/>
  <c r="BI137" i="1"/>
  <c r="BI136" i="1"/>
  <c r="BI135" i="1"/>
  <c r="BI134" i="1"/>
  <c r="BI133" i="1"/>
  <c r="BI132" i="1"/>
  <c r="BI131" i="1"/>
  <c r="BI130" i="1"/>
  <c r="BI129" i="1"/>
  <c r="BI128" i="1"/>
  <c r="BI127" i="1"/>
  <c r="BI126" i="1"/>
  <c r="BI125" i="1"/>
  <c r="BI124" i="1"/>
  <c r="BI123" i="1"/>
  <c r="BI122" i="1"/>
  <c r="BI121" i="1"/>
  <c r="BI120" i="1"/>
  <c r="BI119" i="1"/>
  <c r="BI118" i="1"/>
  <c r="BI117" i="1"/>
  <c r="BI116" i="1"/>
  <c r="BI115" i="1"/>
  <c r="BI114" i="1"/>
  <c r="BI113" i="1"/>
  <c r="BI112" i="1"/>
  <c r="BI111" i="1"/>
  <c r="BI110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8" i="1"/>
  <c r="BI7" i="1"/>
  <c r="BI6" i="1"/>
  <c r="BI5" i="1"/>
  <c r="BI4" i="1"/>
  <c r="BI3" i="1"/>
  <c r="BI2" i="1"/>
  <c r="BH158" i="1"/>
  <c r="BH157" i="1"/>
  <c r="BH156" i="1"/>
  <c r="BH155" i="1"/>
  <c r="BH154" i="1"/>
  <c r="BH153" i="1"/>
  <c r="BH152" i="1"/>
  <c r="BH151" i="1"/>
  <c r="BH150" i="1"/>
  <c r="BH149" i="1"/>
  <c r="BH148" i="1"/>
  <c r="BH147" i="1"/>
  <c r="BH146" i="1"/>
  <c r="BH145" i="1"/>
  <c r="BH144" i="1"/>
  <c r="BH143" i="1"/>
  <c r="BH142" i="1"/>
  <c r="BH141" i="1"/>
  <c r="BH140" i="1"/>
  <c r="BH139" i="1"/>
  <c r="BH138" i="1"/>
  <c r="BH137" i="1"/>
  <c r="BH136" i="1"/>
  <c r="BH135" i="1"/>
  <c r="BH134" i="1"/>
  <c r="BH133" i="1"/>
  <c r="BH132" i="1"/>
  <c r="BH131" i="1"/>
  <c r="BH13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H2" i="1"/>
  <c r="K12" i="1"/>
  <c r="J12" i="1"/>
  <c r="I12" i="1"/>
  <c r="H12" i="1"/>
  <c r="G12" i="1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2" i="1"/>
  <c r="J22" i="1"/>
  <c r="I22" i="1"/>
  <c r="H22" i="1"/>
  <c r="K21" i="1"/>
  <c r="J21" i="1"/>
  <c r="I21" i="1"/>
  <c r="H21" i="1"/>
  <c r="K20" i="1"/>
  <c r="J20" i="1"/>
  <c r="I20" i="1"/>
  <c r="H20" i="1"/>
  <c r="G22" i="1"/>
  <c r="G21" i="1"/>
  <c r="G20" i="1"/>
  <c r="K19" i="1"/>
  <c r="J19" i="1"/>
  <c r="I19" i="1"/>
  <c r="H19" i="1"/>
  <c r="G19" i="1"/>
  <c r="D4" i="5"/>
  <c r="K11" i="1"/>
  <c r="J11" i="1"/>
  <c r="I11" i="1"/>
  <c r="G11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BC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AR64" i="1" l="1"/>
  <c r="AS50" i="1" s="1"/>
  <c r="AG22" i="1"/>
  <c r="AH19" i="1" s="1"/>
  <c r="BC159" i="1"/>
  <c r="BD54" i="1" s="1"/>
  <c r="Z5" i="7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AA2" i="1"/>
  <c r="T48" i="1"/>
  <c r="U12" i="1" s="1"/>
  <c r="AH4" i="1" l="1"/>
  <c r="AS13" i="1"/>
  <c r="AH6" i="1"/>
  <c r="AH18" i="1"/>
  <c r="AS21" i="1"/>
  <c r="AS34" i="1"/>
  <c r="AS9" i="1"/>
  <c r="AH8" i="1"/>
  <c r="BD26" i="1"/>
  <c r="BD44" i="1"/>
  <c r="BD152" i="1"/>
  <c r="BD80" i="1"/>
  <c r="BD113" i="1"/>
  <c r="AS36" i="1"/>
  <c r="BD147" i="1"/>
  <c r="BD66" i="1"/>
  <c r="BD123" i="1"/>
  <c r="BD99" i="1"/>
  <c r="BD155" i="1"/>
  <c r="BD151" i="1"/>
  <c r="BD117" i="1"/>
  <c r="BD21" i="1"/>
  <c r="BD130" i="1"/>
  <c r="BD95" i="1"/>
  <c r="BD59" i="1"/>
  <c r="BD31" i="1"/>
  <c r="BD73" i="1"/>
  <c r="AS57" i="1"/>
  <c r="BD68" i="1"/>
  <c r="BD128" i="1"/>
  <c r="BD63" i="1"/>
  <c r="BD32" i="1"/>
  <c r="BD131" i="1"/>
  <c r="BD127" i="1"/>
  <c r="BD154" i="1"/>
  <c r="BD55" i="1"/>
  <c r="BD106" i="1"/>
  <c r="BD71" i="1"/>
  <c r="BD35" i="1"/>
  <c r="AS56" i="1"/>
  <c r="AS33" i="1"/>
  <c r="BD20" i="1"/>
  <c r="BD2" i="1"/>
  <c r="AS3" i="1"/>
  <c r="BD97" i="1"/>
  <c r="BD22" i="1"/>
  <c r="BD100" i="1"/>
  <c r="BD70" i="1"/>
  <c r="BD56" i="1"/>
  <c r="BD144" i="1"/>
  <c r="BD65" i="1"/>
  <c r="BD120" i="1"/>
  <c r="BD8" i="1"/>
  <c r="BD17" i="1"/>
  <c r="BD96" i="1"/>
  <c r="AS35" i="1"/>
  <c r="AS63" i="1"/>
  <c r="BD112" i="1"/>
  <c r="BD72" i="1"/>
  <c r="AS11" i="1"/>
  <c r="AS39" i="1"/>
  <c r="BD75" i="1"/>
  <c r="BD64" i="1"/>
  <c r="BD48" i="1"/>
  <c r="AS53" i="1"/>
  <c r="BD62" i="1"/>
  <c r="BD27" i="1"/>
  <c r="BD16" i="1"/>
  <c r="BD24" i="1"/>
  <c r="BD143" i="1"/>
  <c r="AS44" i="1"/>
  <c r="BD119" i="1"/>
  <c r="BD83" i="1"/>
  <c r="BD103" i="1"/>
  <c r="BD121" i="1"/>
  <c r="BD82" i="1"/>
  <c r="BD47" i="1"/>
  <c r="BD81" i="1"/>
  <c r="BD14" i="1"/>
  <c r="AS32" i="1"/>
  <c r="BD30" i="1"/>
  <c r="BD58" i="1"/>
  <c r="BD23" i="1"/>
  <c r="BD57" i="1"/>
  <c r="BD150" i="1"/>
  <c r="AS8" i="1"/>
  <c r="AS55" i="1"/>
  <c r="BD139" i="1"/>
  <c r="BD115" i="1"/>
  <c r="BD91" i="1"/>
  <c r="BD104" i="1"/>
  <c r="BD43" i="1"/>
  <c r="BD19" i="1"/>
  <c r="BD34" i="1"/>
  <c r="AS31" i="1"/>
  <c r="BD10" i="1"/>
  <c r="BD118" i="1"/>
  <c r="BD102" i="1"/>
  <c r="AS7" i="1"/>
  <c r="BD51" i="1"/>
  <c r="BD3" i="1"/>
  <c r="BD67" i="1"/>
  <c r="AS42" i="1"/>
  <c r="BD4" i="1"/>
  <c r="BD142" i="1"/>
  <c r="BD33" i="1"/>
  <c r="BD126" i="1"/>
  <c r="BD146" i="1"/>
  <c r="BD94" i="1"/>
  <c r="AS15" i="1"/>
  <c r="BD78" i="1"/>
  <c r="BD61" i="1"/>
  <c r="BD6" i="1"/>
  <c r="BD50" i="1"/>
  <c r="AS54" i="1"/>
  <c r="BD122" i="1"/>
  <c r="BD46" i="1"/>
  <c r="BD45" i="1"/>
  <c r="BD29" i="1"/>
  <c r="AS43" i="1"/>
  <c r="BD38" i="1"/>
  <c r="BD98" i="1"/>
  <c r="BD92" i="1"/>
  <c r="AS4" i="1"/>
  <c r="BD116" i="1"/>
  <c r="BD79" i="1"/>
  <c r="AH14" i="1"/>
  <c r="AH3" i="1"/>
  <c r="AH20" i="1"/>
  <c r="AH13" i="1"/>
  <c r="AH12" i="1"/>
  <c r="AH9" i="1"/>
  <c r="AH2" i="1"/>
  <c r="AS41" i="1"/>
  <c r="AS40" i="1"/>
  <c r="AS61" i="1"/>
  <c r="AS6" i="1"/>
  <c r="AS49" i="1"/>
  <c r="AS5" i="1"/>
  <c r="AS48" i="1"/>
  <c r="AS47" i="1"/>
  <c r="AS25" i="1"/>
  <c r="AS24" i="1"/>
  <c r="AS23" i="1"/>
  <c r="AS60" i="1"/>
  <c r="AS58" i="1"/>
  <c r="AS51" i="1"/>
  <c r="AS59" i="1"/>
  <c r="AS52" i="1"/>
  <c r="AS17" i="1"/>
  <c r="AS12" i="1"/>
  <c r="AS19" i="1"/>
  <c r="AS18" i="1"/>
  <c r="AS26" i="1"/>
  <c r="AS30" i="1"/>
  <c r="AS29" i="1"/>
  <c r="AH17" i="1"/>
  <c r="AS2" i="1"/>
  <c r="AS62" i="1"/>
  <c r="AH21" i="1"/>
  <c r="AS46" i="1"/>
  <c r="AH7" i="1"/>
  <c r="AH10" i="1"/>
  <c r="AH5" i="1"/>
  <c r="AS16" i="1"/>
  <c r="AH11" i="1"/>
  <c r="AS28" i="1"/>
  <c r="AS27" i="1"/>
  <c r="AH16" i="1"/>
  <c r="AS10" i="1"/>
  <c r="AS45" i="1"/>
  <c r="AS38" i="1"/>
  <c r="AS22" i="1"/>
  <c r="AS20" i="1"/>
  <c r="BD153" i="1"/>
  <c r="BD129" i="1"/>
  <c r="BD105" i="1"/>
  <c r="BD132" i="1"/>
  <c r="BD36" i="1"/>
  <c r="BD157" i="1"/>
  <c r="BD125" i="1"/>
  <c r="BD156" i="1"/>
  <c r="BD124" i="1"/>
  <c r="BD90" i="1"/>
  <c r="BD60" i="1"/>
  <c r="BD28" i="1"/>
  <c r="BD89" i="1"/>
  <c r="BD88" i="1"/>
  <c r="BD136" i="1"/>
  <c r="BD135" i="1"/>
  <c r="BD77" i="1"/>
  <c r="BD134" i="1"/>
  <c r="BD76" i="1"/>
  <c r="BD18" i="1"/>
  <c r="BD133" i="1"/>
  <c r="BD15" i="1"/>
  <c r="BD74" i="1"/>
  <c r="BD13" i="1"/>
  <c r="BD12" i="1"/>
  <c r="BD11" i="1"/>
  <c r="BD114" i="1"/>
  <c r="BD158" i="1"/>
  <c r="BD42" i="1"/>
  <c r="BD149" i="1"/>
  <c r="BD101" i="1"/>
  <c r="BD41" i="1"/>
  <c r="BD87" i="1"/>
  <c r="BD86" i="1"/>
  <c r="BD110" i="1"/>
  <c r="BD93" i="1"/>
  <c r="BD85" i="1"/>
  <c r="BD84" i="1"/>
  <c r="BD53" i="1"/>
  <c r="BD39" i="1"/>
  <c r="BD49" i="1"/>
  <c r="BD148" i="1"/>
  <c r="BD52" i="1"/>
  <c r="BD40" i="1"/>
  <c r="BD107" i="1"/>
  <c r="BD109" i="1"/>
  <c r="BD108" i="1"/>
  <c r="BD145" i="1"/>
  <c r="BD37" i="1"/>
  <c r="BD141" i="1"/>
  <c r="BD111" i="1"/>
  <c r="BD5" i="1"/>
  <c r="BD140" i="1"/>
  <c r="BD25" i="1"/>
  <c r="BD138" i="1"/>
  <c r="BD137" i="1"/>
  <c r="AS37" i="1"/>
  <c r="BD9" i="1"/>
  <c r="AS14" i="1"/>
  <c r="BD69" i="1"/>
  <c r="AH15" i="1"/>
  <c r="BD7" i="1"/>
  <c r="J11" i="6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AA32" i="1"/>
  <c r="AA40" i="1"/>
  <c r="AA47" i="1"/>
  <c r="AA31" i="1"/>
  <c r="AA22" i="1"/>
  <c r="AA43" i="1"/>
  <c r="AA12" i="1"/>
  <c r="AA29" i="1"/>
  <c r="AA38" i="1"/>
  <c r="AA24" i="1"/>
  <c r="AA44" i="1"/>
  <c r="AA11" i="1"/>
  <c r="AA27" i="1"/>
  <c r="AA37" i="1"/>
  <c r="AA14" i="1"/>
  <c r="AA34" i="1"/>
  <c r="AA28" i="1"/>
  <c r="AA25" i="1"/>
  <c r="AA30" i="1"/>
  <c r="AA7" i="1"/>
  <c r="AA23" i="1"/>
  <c r="AA13" i="1"/>
  <c r="AA42" i="1"/>
  <c r="AA8" i="1"/>
  <c r="AA5" i="1"/>
  <c r="AA33" i="1"/>
  <c r="AA15" i="1"/>
  <c r="AA9" i="1"/>
  <c r="AA3" i="1"/>
  <c r="AA10" i="1"/>
  <c r="AA46" i="1"/>
  <c r="AA45" i="1"/>
  <c r="AA4" i="1"/>
  <c r="AA19" i="1"/>
  <c r="AA16" i="1"/>
  <c r="AA39" i="1"/>
  <c r="AA21" i="1"/>
  <c r="AA18" i="1"/>
  <c r="AA41" i="1"/>
  <c r="AA17" i="1"/>
  <c r="AA36" i="1"/>
  <c r="AA20" i="1"/>
  <c r="AA35" i="1"/>
  <c r="AA6" i="1"/>
  <c r="AA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48" i="6" l="1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K16" i="1" s="1"/>
  <c r="J5" i="1"/>
  <c r="I5" i="1"/>
  <c r="I16" i="1" s="1"/>
  <c r="G5" i="1"/>
  <c r="K4" i="1"/>
  <c r="J4" i="1"/>
  <c r="I4" i="1"/>
  <c r="G4" i="1"/>
  <c r="K3" i="1"/>
  <c r="J3" i="1"/>
  <c r="I3" i="1"/>
  <c r="G3" i="1"/>
  <c r="K2" i="1"/>
  <c r="J2" i="1"/>
  <c r="AX61" i="1" s="1"/>
  <c r="I2" i="1"/>
  <c r="G2" i="1"/>
  <c r="K1" i="1"/>
  <c r="J1" i="1"/>
  <c r="I1" i="1"/>
  <c r="G1" i="1"/>
  <c r="H9" i="1"/>
  <c r="H8" i="1"/>
  <c r="H7" i="1"/>
  <c r="H6" i="1"/>
  <c r="H5" i="1"/>
  <c r="H16" i="1" s="1"/>
  <c r="H4" i="1"/>
  <c r="H3" i="1"/>
  <c r="H2" i="1"/>
  <c r="H1" i="1"/>
  <c r="AX49" i="1" l="1"/>
  <c r="AX5" i="1"/>
  <c r="AX25" i="1"/>
  <c r="AX31" i="1"/>
  <c r="AX43" i="1"/>
  <c r="AX7" i="1"/>
  <c r="AX51" i="1"/>
  <c r="AX57" i="1"/>
  <c r="AX12" i="1"/>
  <c r="AX3" i="1"/>
  <c r="AX48" i="1"/>
  <c r="AX16" i="1"/>
  <c r="AX24" i="1"/>
  <c r="AX34" i="1"/>
  <c r="AX17" i="1"/>
  <c r="AX20" i="1"/>
  <c r="AX42" i="1"/>
  <c r="AX63" i="1"/>
  <c r="AX45" i="1"/>
  <c r="AX9" i="1"/>
  <c r="AX29" i="1"/>
  <c r="AX39" i="1"/>
  <c r="AX60" i="1"/>
  <c r="AX55" i="1"/>
  <c r="AX8" i="1"/>
  <c r="AX13" i="1"/>
  <c r="AX56" i="1"/>
  <c r="AW47" i="1"/>
  <c r="AW58" i="1"/>
  <c r="AW34" i="1"/>
  <c r="AW22" i="1"/>
  <c r="AW10" i="1"/>
  <c r="AW32" i="1"/>
  <c r="AW55" i="1"/>
  <c r="AW43" i="1"/>
  <c r="AW31" i="1"/>
  <c r="AW19" i="1"/>
  <c r="AW7" i="1"/>
  <c r="AW63" i="1"/>
  <c r="AW51" i="1"/>
  <c r="AW39" i="1"/>
  <c r="AW27" i="1"/>
  <c r="AW15" i="1"/>
  <c r="AW3" i="1"/>
  <c r="AW60" i="1"/>
  <c r="AW48" i="1"/>
  <c r="AW36" i="1"/>
  <c r="AW24" i="1"/>
  <c r="AW12" i="1"/>
  <c r="AW62" i="1"/>
  <c r="AW50" i="1"/>
  <c r="AW38" i="1"/>
  <c r="AW26" i="1"/>
  <c r="AW14" i="1"/>
  <c r="AW2" i="1"/>
  <c r="AW46" i="1"/>
  <c r="AW44" i="1"/>
  <c r="AW20" i="1"/>
  <c r="AW8" i="1"/>
  <c r="AW54" i="1"/>
  <c r="AW42" i="1"/>
  <c r="AW30" i="1"/>
  <c r="AW18" i="1"/>
  <c r="AW6" i="1"/>
  <c r="AW35" i="1"/>
  <c r="AW40" i="1"/>
  <c r="AW61" i="1"/>
  <c r="AW49" i="1"/>
  <c r="AW37" i="1"/>
  <c r="AW25" i="1"/>
  <c r="AW13" i="1"/>
  <c r="AW59" i="1"/>
  <c r="AW23" i="1"/>
  <c r="AW11" i="1"/>
  <c r="AW52" i="1"/>
  <c r="AW28" i="1"/>
  <c r="AW16" i="1"/>
  <c r="AW4" i="1"/>
  <c r="AW57" i="1"/>
  <c r="AW45" i="1"/>
  <c r="AW33" i="1"/>
  <c r="AW21" i="1"/>
  <c r="AW9" i="1"/>
  <c r="AW56" i="1"/>
  <c r="AW53" i="1"/>
  <c r="AW41" i="1"/>
  <c r="AW29" i="1"/>
  <c r="AW17" i="1"/>
  <c r="AW5" i="1"/>
  <c r="AX50" i="1"/>
  <c r="AX38" i="1"/>
  <c r="AX22" i="1"/>
  <c r="AX35" i="1"/>
  <c r="AX58" i="1"/>
  <c r="AX47" i="1"/>
  <c r="AX33" i="1"/>
  <c r="AX4" i="1"/>
  <c r="AX21" i="1"/>
  <c r="AX28" i="1"/>
  <c r="AX18" i="1"/>
  <c r="AX36" i="1"/>
  <c r="AX32" i="1"/>
  <c r="AX59" i="1"/>
  <c r="AX52" i="1"/>
  <c r="AX27" i="1"/>
  <c r="AX26" i="1"/>
  <c r="AX2" i="1"/>
  <c r="AX19" i="1"/>
  <c r="AX30" i="1"/>
  <c r="AX40" i="1"/>
  <c r="AX11" i="1"/>
  <c r="AX15" i="1"/>
  <c r="AX53" i="1"/>
  <c r="AX41" i="1"/>
  <c r="AX10" i="1"/>
  <c r="AX23" i="1"/>
  <c r="AX44" i="1"/>
  <c r="AX62" i="1"/>
  <c r="AX14" i="1"/>
  <c r="AX37" i="1"/>
  <c r="AX6" i="1"/>
  <c r="AX54" i="1"/>
  <c r="AX46" i="1"/>
  <c r="AM21" i="1"/>
  <c r="AL17" i="1"/>
  <c r="AM20" i="1"/>
  <c r="AL16" i="1"/>
  <c r="AM12" i="1"/>
  <c r="AL8" i="1"/>
  <c r="AM19" i="1"/>
  <c r="AL15" i="1"/>
  <c r="AM13" i="1"/>
  <c r="AL9" i="1"/>
  <c r="AM11" i="1"/>
  <c r="AL7" i="1"/>
  <c r="AM18" i="1"/>
  <c r="AL14" i="1"/>
  <c r="AM10" i="1"/>
  <c r="AL6" i="1"/>
  <c r="AM17" i="1"/>
  <c r="AL13" i="1"/>
  <c r="AL19" i="1"/>
  <c r="AM16" i="1"/>
  <c r="AL12" i="1"/>
  <c r="AL21" i="1"/>
  <c r="AM15" i="1"/>
  <c r="AL11" i="1"/>
  <c r="AM4" i="1"/>
  <c r="AL18" i="1"/>
  <c r="AM14" i="1"/>
  <c r="AL10" i="1"/>
  <c r="AM9" i="1"/>
  <c r="AL5" i="1"/>
  <c r="AM6" i="1"/>
  <c r="AL2" i="1"/>
  <c r="AM2" i="1"/>
  <c r="AM8" i="1"/>
  <c r="AL4" i="1"/>
  <c r="AM7" i="1"/>
  <c r="AL3" i="1"/>
  <c r="AM3" i="1"/>
  <c r="AL20" i="1"/>
  <c r="AM5" i="1"/>
  <c r="J16" i="1"/>
  <c r="Z47" i="1"/>
  <c r="Z23" i="1"/>
  <c r="Y45" i="1"/>
  <c r="Y21" i="1"/>
  <c r="Z21" i="1"/>
  <c r="Z44" i="1"/>
  <c r="Z20" i="1"/>
  <c r="Y42" i="1"/>
  <c r="Y18" i="1"/>
  <c r="Z43" i="1"/>
  <c r="Z19" i="1"/>
  <c r="Y41" i="1"/>
  <c r="Y17" i="1"/>
  <c r="Z18" i="1"/>
  <c r="Z46" i="1"/>
  <c r="Z22" i="1"/>
  <c r="Y44" i="1"/>
  <c r="Y20" i="1"/>
  <c r="Z45" i="1"/>
  <c r="Y43" i="1"/>
  <c r="Y19" i="1"/>
  <c r="Z42" i="1"/>
  <c r="Y40" i="1"/>
  <c r="Y16" i="1"/>
  <c r="Z41" i="1"/>
  <c r="Z17" i="1"/>
  <c r="Y39" i="1"/>
  <c r="Y15" i="1"/>
  <c r="Z36" i="1"/>
  <c r="Z12" i="1"/>
  <c r="Y34" i="1"/>
  <c r="Y10" i="1"/>
  <c r="Z29" i="1"/>
  <c r="Z5" i="1"/>
  <c r="Y27" i="1"/>
  <c r="Y3" i="1"/>
  <c r="Z40" i="1"/>
  <c r="Z16" i="1"/>
  <c r="Y38" i="1"/>
  <c r="Y14" i="1"/>
  <c r="Z39" i="1"/>
  <c r="Z15" i="1"/>
  <c r="Y37" i="1"/>
  <c r="Y13" i="1"/>
  <c r="Z38" i="1"/>
  <c r="Z14" i="1"/>
  <c r="Y36" i="1"/>
  <c r="Y12" i="1"/>
  <c r="Z37" i="1"/>
  <c r="Z13" i="1"/>
  <c r="Y35" i="1"/>
  <c r="Y11" i="1"/>
  <c r="Z28" i="1"/>
  <c r="Y26" i="1"/>
  <c r="Y2" i="1"/>
  <c r="Z26" i="1"/>
  <c r="Z2" i="1"/>
  <c r="Y24" i="1"/>
  <c r="Y22" i="1"/>
  <c r="Z27" i="1"/>
  <c r="Z3" i="1"/>
  <c r="Y25" i="1"/>
  <c r="Y47" i="1"/>
  <c r="Z25" i="1"/>
  <c r="Y23" i="1"/>
  <c r="Z35" i="1"/>
  <c r="Z11" i="1"/>
  <c r="Y33" i="1"/>
  <c r="Y9" i="1"/>
  <c r="Z33" i="1"/>
  <c r="Z9" i="1"/>
  <c r="Y31" i="1"/>
  <c r="Y7" i="1"/>
  <c r="Z31" i="1"/>
  <c r="Z7" i="1"/>
  <c r="Y29" i="1"/>
  <c r="Y5" i="1"/>
  <c r="Z30" i="1"/>
  <c r="Z6" i="1"/>
  <c r="Y28" i="1"/>
  <c r="Y4" i="1"/>
  <c r="Y46" i="1"/>
  <c r="Z34" i="1"/>
  <c r="Z10" i="1"/>
  <c r="Y32" i="1"/>
  <c r="Y8" i="1"/>
  <c r="Z32" i="1"/>
  <c r="Z8" i="1"/>
  <c r="Y30" i="1"/>
  <c r="Y6" i="1"/>
  <c r="Z4" i="1"/>
  <c r="Z24" i="1"/>
  <c r="AN15" i="1"/>
  <c r="AN21" i="1"/>
  <c r="AN20" i="1"/>
  <c r="AN16" i="1"/>
  <c r="AN13" i="1"/>
  <c r="AO13" i="1" s="1"/>
  <c r="AN7" i="1"/>
  <c r="AN6" i="1"/>
  <c r="AN11" i="1"/>
  <c r="AN10" i="1"/>
  <c r="AN9" i="1"/>
  <c r="AN18" i="1"/>
  <c r="AN17" i="1"/>
  <c r="AN19" i="1"/>
  <c r="AO19" i="1" s="1"/>
  <c r="AN14" i="1"/>
  <c r="AN12" i="1"/>
  <c r="AN8" i="1"/>
  <c r="AN4" i="1"/>
  <c r="AN5" i="1"/>
  <c r="AN3" i="1"/>
  <c r="AN2" i="1"/>
  <c r="J14" i="1"/>
  <c r="AT60" i="1"/>
  <c r="AT36" i="1"/>
  <c r="AT12" i="1"/>
  <c r="AT56" i="1"/>
  <c r="AT23" i="1"/>
  <c r="AT55" i="1"/>
  <c r="AT22" i="1"/>
  <c r="AT54" i="1"/>
  <c r="AT21" i="1"/>
  <c r="J13" i="1"/>
  <c r="AT53" i="1"/>
  <c r="AT20" i="1"/>
  <c r="AT49" i="1"/>
  <c r="AT15" i="1"/>
  <c r="AT48" i="1"/>
  <c r="AT14" i="1"/>
  <c r="AT47" i="1"/>
  <c r="AT11" i="1"/>
  <c r="AT46" i="1"/>
  <c r="AT10" i="1"/>
  <c r="AT38" i="1"/>
  <c r="AT5" i="1"/>
  <c r="AT35" i="1"/>
  <c r="AT2" i="1"/>
  <c r="AT34" i="1"/>
  <c r="AT33" i="1"/>
  <c r="AT32" i="1"/>
  <c r="AT30" i="1"/>
  <c r="AT31" i="1"/>
  <c r="AT29" i="1"/>
  <c r="AT26" i="1"/>
  <c r="AT25" i="1"/>
  <c r="AT24" i="1"/>
  <c r="AT63" i="1"/>
  <c r="AT62" i="1"/>
  <c r="AT59" i="1"/>
  <c r="AT58" i="1"/>
  <c r="AT9" i="1"/>
  <c r="AT8" i="1"/>
  <c r="AT45" i="1"/>
  <c r="AT19" i="1"/>
  <c r="AT7" i="1"/>
  <c r="AT6" i="1"/>
  <c r="AT39" i="1"/>
  <c r="AT44" i="1"/>
  <c r="AT43" i="1"/>
  <c r="AT50" i="1"/>
  <c r="AT57" i="1"/>
  <c r="AT13" i="1"/>
  <c r="AT37" i="1"/>
  <c r="AT61" i="1"/>
  <c r="AT16" i="1"/>
  <c r="AT27" i="1"/>
  <c r="AT18" i="1"/>
  <c r="AT42" i="1"/>
  <c r="AT51" i="1"/>
  <c r="AT41" i="1"/>
  <c r="AT40" i="1"/>
  <c r="AT17" i="1"/>
  <c r="AT28" i="1"/>
  <c r="AT52" i="1"/>
  <c r="AT3" i="1"/>
  <c r="AT4" i="1"/>
  <c r="AU42" i="1"/>
  <c r="AU18" i="1"/>
  <c r="AU56" i="1"/>
  <c r="AU32" i="1"/>
  <c r="AU8" i="1"/>
  <c r="AU59" i="1"/>
  <c r="AU33" i="1"/>
  <c r="AU6" i="1"/>
  <c r="AU58" i="1"/>
  <c r="AU31" i="1"/>
  <c r="AU5" i="1"/>
  <c r="AU57" i="1"/>
  <c r="AU30" i="1"/>
  <c r="AU4" i="1"/>
  <c r="AU55" i="1"/>
  <c r="AU29" i="1"/>
  <c r="AU3" i="1"/>
  <c r="AU53" i="1"/>
  <c r="AU27" i="1"/>
  <c r="AU52" i="1"/>
  <c r="AU26" i="1"/>
  <c r="AU51" i="1"/>
  <c r="AU25" i="1"/>
  <c r="AU45" i="1"/>
  <c r="AU19" i="1"/>
  <c r="AU44" i="1"/>
  <c r="AU17" i="1"/>
  <c r="AU34" i="1"/>
  <c r="AU28" i="1"/>
  <c r="AU24" i="1"/>
  <c r="AU23" i="1"/>
  <c r="AU63" i="1"/>
  <c r="AU20" i="1"/>
  <c r="AU62" i="1"/>
  <c r="AU16" i="1"/>
  <c r="AU61" i="1"/>
  <c r="AU15" i="1"/>
  <c r="AU47" i="1"/>
  <c r="AU9" i="1"/>
  <c r="AU46" i="1"/>
  <c r="AU7" i="1"/>
  <c r="AU43" i="1"/>
  <c r="AU2" i="1"/>
  <c r="AU41" i="1"/>
  <c r="AU21" i="1"/>
  <c r="AU60" i="1"/>
  <c r="AU14" i="1"/>
  <c r="AU38" i="1"/>
  <c r="AU22" i="1"/>
  <c r="AU13" i="1"/>
  <c r="AU12" i="1"/>
  <c r="AU11" i="1"/>
  <c r="AU10" i="1"/>
  <c r="AU35" i="1"/>
  <c r="AU37" i="1"/>
  <c r="AU36" i="1"/>
  <c r="AU54" i="1"/>
  <c r="AU50" i="1"/>
  <c r="AU39" i="1"/>
  <c r="AU49" i="1"/>
  <c r="AU48" i="1"/>
  <c r="AU40" i="1"/>
  <c r="V34" i="1"/>
  <c r="V10" i="1"/>
  <c r="V28" i="1"/>
  <c r="V27" i="1"/>
  <c r="V24" i="1"/>
  <c r="V23" i="1"/>
  <c r="H14" i="1"/>
  <c r="V21" i="1"/>
  <c r="H13" i="1"/>
  <c r="V20" i="1"/>
  <c r="V19" i="1"/>
  <c r="V18" i="1"/>
  <c r="V44" i="1"/>
  <c r="V8" i="1"/>
  <c r="V43" i="1"/>
  <c r="V7" i="1"/>
  <c r="V3" i="1"/>
  <c r="V47" i="1"/>
  <c r="V46" i="1"/>
  <c r="V45" i="1"/>
  <c r="V42" i="1"/>
  <c r="V41" i="1"/>
  <c r="V30" i="1"/>
  <c r="V29" i="1"/>
  <c r="V22" i="1"/>
  <c r="V17" i="1"/>
  <c r="V4" i="1"/>
  <c r="V13" i="1"/>
  <c r="V9" i="1"/>
  <c r="V6" i="1"/>
  <c r="V5" i="1"/>
  <c r="V12" i="1"/>
  <c r="V37" i="1"/>
  <c r="V31" i="1"/>
  <c r="V36" i="1"/>
  <c r="V33" i="1"/>
  <c r="V32" i="1"/>
  <c r="V35" i="1"/>
  <c r="V14" i="1"/>
  <c r="V26" i="1"/>
  <c r="V40" i="1"/>
  <c r="V38" i="1"/>
  <c r="V25" i="1"/>
  <c r="V16" i="1"/>
  <c r="V2" i="1"/>
  <c r="V15" i="1"/>
  <c r="V39" i="1"/>
  <c r="V11" i="1"/>
  <c r="K14" i="1"/>
  <c r="BE84" i="1"/>
  <c r="BE53" i="1"/>
  <c r="BE17" i="1"/>
  <c r="BE35" i="1"/>
  <c r="BE34" i="1"/>
  <c r="BE83" i="1"/>
  <c r="BE33" i="1"/>
  <c r="BE81" i="1"/>
  <c r="BE31" i="1"/>
  <c r="BE82" i="1"/>
  <c r="BE32" i="1"/>
  <c r="BE80" i="1"/>
  <c r="BE21" i="1"/>
  <c r="BE77" i="1"/>
  <c r="BE16" i="1"/>
  <c r="BE73" i="1"/>
  <c r="BE15" i="1"/>
  <c r="BE72" i="1"/>
  <c r="BE12" i="1"/>
  <c r="BE64" i="1"/>
  <c r="BE57" i="1"/>
  <c r="BE49" i="1"/>
  <c r="BE48" i="1"/>
  <c r="BE69" i="1"/>
  <c r="BE68" i="1"/>
  <c r="BE67" i="1"/>
  <c r="BE66" i="1"/>
  <c r="BE44" i="1"/>
  <c r="BE36" i="1"/>
  <c r="BE65" i="1"/>
  <c r="BE45" i="1"/>
  <c r="BE40" i="1"/>
  <c r="BE11" i="1"/>
  <c r="BE41" i="1"/>
  <c r="BE39" i="1"/>
  <c r="BE8" i="1"/>
  <c r="BE7" i="1"/>
  <c r="BE6" i="1"/>
  <c r="BE5" i="1"/>
  <c r="BE52" i="1"/>
  <c r="BE13" i="1"/>
  <c r="BE28" i="1"/>
  <c r="BE19" i="1"/>
  <c r="BE55" i="1"/>
  <c r="BE75" i="1"/>
  <c r="BE20" i="1"/>
  <c r="BE51" i="1"/>
  <c r="BE27" i="1"/>
  <c r="BE24" i="1"/>
  <c r="BE54" i="1"/>
  <c r="BE3" i="1"/>
  <c r="BE58" i="1"/>
  <c r="BE25" i="1"/>
  <c r="BE59" i="1"/>
  <c r="BE78" i="1"/>
  <c r="BE26" i="1"/>
  <c r="BE29" i="1"/>
  <c r="BE43" i="1"/>
  <c r="BE47" i="1"/>
  <c r="BE23" i="1"/>
  <c r="BE70" i="1"/>
  <c r="BE62" i="1"/>
  <c r="BE14" i="1"/>
  <c r="BE61" i="1"/>
  <c r="BE37" i="1"/>
  <c r="BE4" i="1"/>
  <c r="BE56" i="1"/>
  <c r="BE42" i="1"/>
  <c r="BE2" i="1"/>
  <c r="BE30" i="1"/>
  <c r="BE50" i="1"/>
  <c r="BE10" i="1"/>
  <c r="BE60" i="1"/>
  <c r="BE79" i="1"/>
  <c r="BE86" i="1"/>
  <c r="BE38" i="1"/>
  <c r="BE9" i="1"/>
  <c r="BE74" i="1"/>
  <c r="K13" i="1"/>
  <c r="BE71" i="1"/>
  <c r="BE63" i="1"/>
  <c r="BE46" i="1"/>
  <c r="BE22" i="1"/>
  <c r="BE85" i="1"/>
  <c r="BE18" i="1"/>
  <c r="BE76" i="1"/>
  <c r="I14" i="1"/>
  <c r="AI8" i="1"/>
  <c r="AI7" i="1"/>
  <c r="AI6" i="1"/>
  <c r="AI5" i="1"/>
  <c r="AI4" i="1"/>
  <c r="AI2" i="1"/>
  <c r="I13" i="1"/>
  <c r="AI21" i="1"/>
  <c r="AI20" i="1"/>
  <c r="AI19" i="1"/>
  <c r="AI18" i="1"/>
  <c r="AI17" i="1"/>
  <c r="AI11" i="1"/>
  <c r="AI16" i="1"/>
  <c r="AI15" i="1"/>
  <c r="AI3" i="1"/>
  <c r="AI10" i="1"/>
  <c r="AI9" i="1"/>
  <c r="AI13" i="1"/>
  <c r="AI14" i="1"/>
  <c r="AI12" i="1"/>
  <c r="AY61" i="1"/>
  <c r="AY37" i="1"/>
  <c r="AY13" i="1"/>
  <c r="AY51" i="1"/>
  <c r="AY27" i="1"/>
  <c r="AY3" i="1"/>
  <c r="AY39" i="1"/>
  <c r="AY12" i="1"/>
  <c r="AY38" i="1"/>
  <c r="AY11" i="1"/>
  <c r="AY63" i="1"/>
  <c r="AY36" i="1"/>
  <c r="AY10" i="1"/>
  <c r="AZ10" i="1" s="1"/>
  <c r="AY62" i="1"/>
  <c r="AY35" i="1"/>
  <c r="AY9" i="1"/>
  <c r="AY59" i="1"/>
  <c r="AY33" i="1"/>
  <c r="AY7" i="1"/>
  <c r="AY58" i="1"/>
  <c r="AY32" i="1"/>
  <c r="AY6" i="1"/>
  <c r="AY57" i="1"/>
  <c r="AY31" i="1"/>
  <c r="AY5" i="1"/>
  <c r="AY56" i="1"/>
  <c r="AY30" i="1"/>
  <c r="AY4" i="1"/>
  <c r="AY50" i="1"/>
  <c r="AY24" i="1"/>
  <c r="AY49" i="1"/>
  <c r="AY23" i="1"/>
  <c r="AY41" i="1"/>
  <c r="AY40" i="1"/>
  <c r="AY34" i="1"/>
  <c r="AY29" i="1"/>
  <c r="AY25" i="1"/>
  <c r="AZ25" i="1" s="1"/>
  <c r="AY22" i="1"/>
  <c r="AY21" i="1"/>
  <c r="AY54" i="1"/>
  <c r="AY15" i="1"/>
  <c r="AY53" i="1"/>
  <c r="AY14" i="1"/>
  <c r="AY52" i="1"/>
  <c r="AY8" i="1"/>
  <c r="AY48" i="1"/>
  <c r="AY2" i="1"/>
  <c r="AY60" i="1"/>
  <c r="AY18" i="1"/>
  <c r="AY55" i="1"/>
  <c r="AY47" i="1"/>
  <c r="AY46" i="1"/>
  <c r="AY45" i="1"/>
  <c r="AY42" i="1"/>
  <c r="AY19" i="1"/>
  <c r="AY44" i="1"/>
  <c r="AY43" i="1"/>
  <c r="AY26" i="1"/>
  <c r="AY28" i="1"/>
  <c r="AY20" i="1"/>
  <c r="AZ20" i="1" s="1"/>
  <c r="AY17" i="1"/>
  <c r="AZ17" i="1" s="1"/>
  <c r="AY16" i="1"/>
  <c r="AJ8" i="1"/>
  <c r="AJ12" i="1"/>
  <c r="AJ11" i="1"/>
  <c r="AJ6" i="1"/>
  <c r="AJ4" i="1"/>
  <c r="AJ5" i="1"/>
  <c r="AJ3" i="1"/>
  <c r="AJ2" i="1"/>
  <c r="AJ19" i="1"/>
  <c r="AJ18" i="1"/>
  <c r="AJ17" i="1"/>
  <c r="AJ7" i="1"/>
  <c r="AJ14" i="1"/>
  <c r="AJ15" i="1"/>
  <c r="AJ10" i="1"/>
  <c r="AJ9" i="1"/>
  <c r="AJ13" i="1"/>
  <c r="AJ16" i="1"/>
  <c r="AJ21" i="1"/>
  <c r="AJ20" i="1"/>
  <c r="BF155" i="1"/>
  <c r="BF131" i="1"/>
  <c r="BF107" i="1"/>
  <c r="BF83" i="1"/>
  <c r="BF59" i="1"/>
  <c r="BF35" i="1"/>
  <c r="BF11" i="1"/>
  <c r="BE144" i="1"/>
  <c r="BE120" i="1"/>
  <c r="BE96" i="1"/>
  <c r="BF154" i="1"/>
  <c r="BF130" i="1"/>
  <c r="BF106" i="1"/>
  <c r="BF82" i="1"/>
  <c r="BF58" i="1"/>
  <c r="BF34" i="1"/>
  <c r="BF10" i="1"/>
  <c r="BE143" i="1"/>
  <c r="BE119" i="1"/>
  <c r="BE95" i="1"/>
  <c r="BF153" i="1"/>
  <c r="BF129" i="1"/>
  <c r="BF105" i="1"/>
  <c r="BF81" i="1"/>
  <c r="BF57" i="1"/>
  <c r="BF33" i="1"/>
  <c r="BF9" i="1"/>
  <c r="BE142" i="1"/>
  <c r="BE118" i="1"/>
  <c r="BE94" i="1"/>
  <c r="BF150" i="1"/>
  <c r="BF126" i="1"/>
  <c r="BF102" i="1"/>
  <c r="BF78" i="1"/>
  <c r="BF54" i="1"/>
  <c r="BF30" i="1"/>
  <c r="BF6" i="1"/>
  <c r="BE139" i="1"/>
  <c r="BE115" i="1"/>
  <c r="BE91" i="1"/>
  <c r="BF149" i="1"/>
  <c r="BF125" i="1"/>
  <c r="BF101" i="1"/>
  <c r="BF77" i="1"/>
  <c r="BF53" i="1"/>
  <c r="BF141" i="1"/>
  <c r="BF117" i="1"/>
  <c r="BF93" i="1"/>
  <c r="BF69" i="1"/>
  <c r="BF45" i="1"/>
  <c r="BF21" i="1"/>
  <c r="BE154" i="1"/>
  <c r="BE130" i="1"/>
  <c r="BE106" i="1"/>
  <c r="BF140" i="1"/>
  <c r="BF116" i="1"/>
  <c r="BF92" i="1"/>
  <c r="BF68" i="1"/>
  <c r="BF44" i="1"/>
  <c r="BF20" i="1"/>
  <c r="BE153" i="1"/>
  <c r="BE129" i="1"/>
  <c r="BE105" i="1"/>
  <c r="BF133" i="1"/>
  <c r="BF97" i="1"/>
  <c r="BF64" i="1"/>
  <c r="BF29" i="1"/>
  <c r="BE156" i="1"/>
  <c r="BE124" i="1"/>
  <c r="BE90" i="1"/>
  <c r="BF132" i="1"/>
  <c r="BF96" i="1"/>
  <c r="BF63" i="1"/>
  <c r="BF28" i="1"/>
  <c r="BE155" i="1"/>
  <c r="BE123" i="1"/>
  <c r="BE89" i="1"/>
  <c r="BF128" i="1"/>
  <c r="BF95" i="1"/>
  <c r="BF62" i="1"/>
  <c r="BF27" i="1"/>
  <c r="BE152" i="1"/>
  <c r="BE122" i="1"/>
  <c r="BE88" i="1"/>
  <c r="BF127" i="1"/>
  <c r="BF94" i="1"/>
  <c r="BF61" i="1"/>
  <c r="BF26" i="1"/>
  <c r="BE151" i="1"/>
  <c r="BE121" i="1"/>
  <c r="BE87" i="1"/>
  <c r="BF123" i="1"/>
  <c r="BF90" i="1"/>
  <c r="BF56" i="1"/>
  <c r="BF24" i="1"/>
  <c r="BE149" i="1"/>
  <c r="BE116" i="1"/>
  <c r="BF158" i="1"/>
  <c r="BF122" i="1"/>
  <c r="BF89" i="1"/>
  <c r="BF55" i="1"/>
  <c r="BF23" i="1"/>
  <c r="BE148" i="1"/>
  <c r="BE114" i="1"/>
  <c r="BF157" i="1"/>
  <c r="BF121" i="1"/>
  <c r="BF88" i="1"/>
  <c r="BF52" i="1"/>
  <c r="BF22" i="1"/>
  <c r="BE147" i="1"/>
  <c r="BE113" i="1"/>
  <c r="BF156" i="1"/>
  <c r="BF120" i="1"/>
  <c r="BF87" i="1"/>
  <c r="BF51" i="1"/>
  <c r="BF19" i="1"/>
  <c r="BE146" i="1"/>
  <c r="BE112" i="1"/>
  <c r="BF146" i="1"/>
  <c r="BF113" i="1"/>
  <c r="BF79" i="1"/>
  <c r="BF46" i="1"/>
  <c r="BF14" i="1"/>
  <c r="BE137" i="1"/>
  <c r="BE107" i="1"/>
  <c r="BF145" i="1"/>
  <c r="BF112" i="1"/>
  <c r="BF76" i="1"/>
  <c r="BF43" i="1"/>
  <c r="BF13" i="1"/>
  <c r="BE136" i="1"/>
  <c r="BE104" i="1"/>
  <c r="BF135" i="1"/>
  <c r="BF72" i="1"/>
  <c r="BF15" i="1"/>
  <c r="BE117" i="1"/>
  <c r="BF134" i="1"/>
  <c r="BF71" i="1"/>
  <c r="BF12" i="1"/>
  <c r="BE111" i="1"/>
  <c r="BF124" i="1"/>
  <c r="BF70" i="1"/>
  <c r="BF8" i="1"/>
  <c r="BE110" i="1"/>
  <c r="BF119" i="1"/>
  <c r="BF67" i="1"/>
  <c r="BF7" i="1"/>
  <c r="BE109" i="1"/>
  <c r="BF118" i="1"/>
  <c r="BF66" i="1"/>
  <c r="BF5" i="1"/>
  <c r="BE108" i="1"/>
  <c r="BF115" i="1"/>
  <c r="BF65" i="1"/>
  <c r="BF4" i="1"/>
  <c r="BE103" i="1"/>
  <c r="BF114" i="1"/>
  <c r="BF60" i="1"/>
  <c r="BF3" i="1"/>
  <c r="BE102" i="1"/>
  <c r="BF111" i="1"/>
  <c r="BF50" i="1"/>
  <c r="BF2" i="1"/>
  <c r="BE101" i="1"/>
  <c r="BF110" i="1"/>
  <c r="BF49" i="1"/>
  <c r="BE158" i="1"/>
  <c r="BE100" i="1"/>
  <c r="BF151" i="1"/>
  <c r="BF99" i="1"/>
  <c r="BF39" i="1"/>
  <c r="BE138" i="1"/>
  <c r="BF148" i="1"/>
  <c r="BF98" i="1"/>
  <c r="BF38" i="1"/>
  <c r="BE135" i="1"/>
  <c r="BF147" i="1"/>
  <c r="BF91" i="1"/>
  <c r="BF37" i="1"/>
  <c r="BE134" i="1"/>
  <c r="BF144" i="1"/>
  <c r="BF86" i="1"/>
  <c r="BF36" i="1"/>
  <c r="BE133" i="1"/>
  <c r="BF104" i="1"/>
  <c r="BE140" i="1"/>
  <c r="BF103" i="1"/>
  <c r="BE132" i="1"/>
  <c r="BF138" i="1"/>
  <c r="BF16" i="1"/>
  <c r="BF100" i="1"/>
  <c r="BE131" i="1"/>
  <c r="BF136" i="1"/>
  <c r="BF85" i="1"/>
  <c r="BE128" i="1"/>
  <c r="BF84" i="1"/>
  <c r="BE127" i="1"/>
  <c r="BF74" i="1"/>
  <c r="BE99" i="1"/>
  <c r="BF42" i="1"/>
  <c r="BE92" i="1"/>
  <c r="BF80" i="1"/>
  <c r="BE126" i="1"/>
  <c r="BF75" i="1"/>
  <c r="BE125" i="1"/>
  <c r="BF48" i="1"/>
  <c r="BE97" i="1"/>
  <c r="BF41" i="1"/>
  <c r="BF73" i="1"/>
  <c r="BE98" i="1"/>
  <c r="BF47" i="1"/>
  <c r="BE93" i="1"/>
  <c r="BF109" i="1"/>
  <c r="BE145" i="1"/>
  <c r="BF108" i="1"/>
  <c r="BE141" i="1"/>
  <c r="BF137" i="1"/>
  <c r="BE157" i="1"/>
  <c r="BE150" i="1"/>
  <c r="BF40" i="1"/>
  <c r="BF32" i="1"/>
  <c r="BF139" i="1"/>
  <c r="BF17" i="1"/>
  <c r="BF152" i="1"/>
  <c r="BF31" i="1"/>
  <c r="BF143" i="1"/>
  <c r="BF25" i="1"/>
  <c r="BF142" i="1"/>
  <c r="BF18" i="1"/>
  <c r="C47" i="3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AB45" i="1"/>
  <c r="AB29" i="1"/>
  <c r="AB13" i="1"/>
  <c r="AB44" i="1"/>
  <c r="AB28" i="1"/>
  <c r="AB12" i="1"/>
  <c r="AB43" i="1"/>
  <c r="AB27" i="1"/>
  <c r="AB11" i="1"/>
  <c r="AB42" i="1"/>
  <c r="AB26" i="1"/>
  <c r="AB10" i="1"/>
  <c r="AB41" i="1"/>
  <c r="AB25" i="1"/>
  <c r="AB9" i="1"/>
  <c r="AB40" i="1"/>
  <c r="AB24" i="1"/>
  <c r="AB8" i="1"/>
  <c r="AB39" i="1"/>
  <c r="AB23" i="1"/>
  <c r="AB7" i="1"/>
  <c r="AB38" i="1"/>
  <c r="AB22" i="1"/>
  <c r="AB6" i="1"/>
  <c r="AB37" i="1"/>
  <c r="AB21" i="1"/>
  <c r="AB5" i="1"/>
  <c r="AB36" i="1"/>
  <c r="AB20" i="1"/>
  <c r="AB4" i="1"/>
  <c r="AB35" i="1"/>
  <c r="AB19" i="1"/>
  <c r="AB3" i="1"/>
  <c r="AB34" i="1"/>
  <c r="AB18" i="1"/>
  <c r="AB2" i="1"/>
  <c r="AB33" i="1"/>
  <c r="AB17" i="1"/>
  <c r="AB32" i="1"/>
  <c r="AB16" i="1"/>
  <c r="AB47" i="1"/>
  <c r="AB31" i="1"/>
  <c r="AB15" i="1"/>
  <c r="AB46" i="1"/>
  <c r="AB30" i="1"/>
  <c r="AB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AC40" i="1" l="1"/>
  <c r="AC43" i="1"/>
  <c r="BF159" i="1"/>
  <c r="AZ14" i="1"/>
  <c r="AZ7" i="1"/>
  <c r="AU64" i="1"/>
  <c r="AZ36" i="1"/>
  <c r="AZ51" i="1"/>
  <c r="AZ47" i="1"/>
  <c r="AZ8" i="1"/>
  <c r="AZ53" i="1"/>
  <c r="AZ33" i="1"/>
  <c r="AZ15" i="1"/>
  <c r="AZ59" i="1"/>
  <c r="AZ13" i="1"/>
  <c r="AZ35" i="1"/>
  <c r="AO2" i="1"/>
  <c r="AZ46" i="1"/>
  <c r="AZ30" i="1"/>
  <c r="AZ54" i="1"/>
  <c r="AZ9" i="1"/>
  <c r="AZ21" i="1"/>
  <c r="AZ16" i="1"/>
  <c r="AZ22" i="1"/>
  <c r="AZ62" i="1"/>
  <c r="AO3" i="1"/>
  <c r="AO5" i="1"/>
  <c r="AO4" i="1"/>
  <c r="AO8" i="1"/>
  <c r="AZ29" i="1"/>
  <c r="AZ28" i="1"/>
  <c r="AZ34" i="1"/>
  <c r="AZ63" i="1"/>
  <c r="AZ26" i="1"/>
  <c r="AZ40" i="1"/>
  <c r="AZ11" i="1"/>
  <c r="AO12" i="1"/>
  <c r="AZ43" i="1"/>
  <c r="AZ41" i="1"/>
  <c r="AZ38" i="1"/>
  <c r="AO14" i="1"/>
  <c r="AZ44" i="1"/>
  <c r="AZ23" i="1"/>
  <c r="AZ12" i="1"/>
  <c r="AJ22" i="1"/>
  <c r="AZ19" i="1"/>
  <c r="AZ49" i="1"/>
  <c r="AZ39" i="1"/>
  <c r="AO17" i="1"/>
  <c r="AZ42" i="1"/>
  <c r="AZ24" i="1"/>
  <c r="AZ3" i="1"/>
  <c r="AO18" i="1"/>
  <c r="AZ45" i="1"/>
  <c r="AZ50" i="1"/>
  <c r="AZ27" i="1"/>
  <c r="AO9" i="1"/>
  <c r="AO10" i="1"/>
  <c r="AO11" i="1"/>
  <c r="AO6" i="1"/>
  <c r="AZ18" i="1"/>
  <c r="AZ5" i="1"/>
  <c r="AZ61" i="1"/>
  <c r="AO7" i="1"/>
  <c r="AZ2" i="1"/>
  <c r="AZ57" i="1"/>
  <c r="AO16" i="1"/>
  <c r="AZ4" i="1"/>
  <c r="AZ55" i="1"/>
  <c r="AZ60" i="1"/>
  <c r="AZ31" i="1"/>
  <c r="AZ48" i="1"/>
  <c r="AZ6" i="1"/>
  <c r="AO20" i="1"/>
  <c r="AZ56" i="1"/>
  <c r="AO21" i="1"/>
  <c r="AZ37" i="1"/>
  <c r="AZ32" i="1"/>
  <c r="AZ52" i="1"/>
  <c r="AZ58" i="1"/>
  <c r="AO15" i="1"/>
  <c r="D35" i="3"/>
  <c r="D16" i="3"/>
  <c r="D19" i="3"/>
  <c r="D14" i="3"/>
  <c r="AC19" i="1"/>
  <c r="AC35" i="1"/>
  <c r="AC9" i="1"/>
  <c r="AC25" i="1"/>
  <c r="AC8" i="1"/>
  <c r="AC30" i="1"/>
  <c r="AC20" i="1"/>
  <c r="AC41" i="1"/>
  <c r="AC14" i="1"/>
  <c r="AC46" i="1"/>
  <c r="AC36" i="1"/>
  <c r="AC10" i="1"/>
  <c r="AC4" i="1"/>
  <c r="AC15" i="1"/>
  <c r="AC5" i="1"/>
  <c r="AC26" i="1"/>
  <c r="AC31" i="1"/>
  <c r="AC21" i="1"/>
  <c r="AC42" i="1"/>
  <c r="AC34" i="1"/>
  <c r="AC47" i="1"/>
  <c r="AC37" i="1"/>
  <c r="AC11" i="1"/>
  <c r="AC16" i="1"/>
  <c r="AC6" i="1"/>
  <c r="AC27" i="1"/>
  <c r="AC22" i="1"/>
  <c r="AC17" i="1"/>
  <c r="AC38" i="1"/>
  <c r="AC12" i="1"/>
  <c r="AC32" i="1"/>
  <c r="AC33" i="1"/>
  <c r="AC7" i="1"/>
  <c r="AC28" i="1"/>
  <c r="AC2" i="1"/>
  <c r="AC23" i="1"/>
  <c r="AC44" i="1"/>
  <c r="AC18" i="1"/>
  <c r="AC39" i="1"/>
  <c r="AC13" i="1"/>
  <c r="AC29" i="1"/>
  <c r="AC3" i="1"/>
  <c r="AC24" i="1"/>
  <c r="AC45" i="1"/>
  <c r="W48" i="1"/>
  <c r="X2" i="1" s="1"/>
  <c r="AK10" i="1" l="1"/>
  <c r="AK20" i="1"/>
  <c r="AK18" i="1"/>
  <c r="AK8" i="1"/>
  <c r="AK3" i="1"/>
  <c r="AK2" i="1"/>
  <c r="AK5" i="1"/>
  <c r="AK19" i="1"/>
  <c r="AK17" i="1"/>
  <c r="AK14" i="1"/>
  <c r="AK9" i="1"/>
  <c r="AK7" i="1"/>
  <c r="AK6" i="1"/>
  <c r="AK12" i="1"/>
  <c r="AK11" i="1"/>
  <c r="AK16" i="1"/>
  <c r="AK13" i="1"/>
  <c r="AK4" i="1"/>
  <c r="AK15" i="1"/>
  <c r="AK21" i="1"/>
  <c r="AV53" i="1"/>
  <c r="AV25" i="1"/>
  <c r="AV5" i="1"/>
  <c r="AV36" i="1"/>
  <c r="AV41" i="1"/>
  <c r="AV58" i="1"/>
  <c r="AV40" i="1"/>
  <c r="AV35" i="1"/>
  <c r="AV56" i="1"/>
  <c r="AV21" i="1"/>
  <c r="AV4" i="1"/>
  <c r="AV50" i="1"/>
  <c r="AV39" i="1"/>
  <c r="AV47" i="1"/>
  <c r="AV14" i="1"/>
  <c r="AV52" i="1"/>
  <c r="AV44" i="1"/>
  <c r="AV60" i="1"/>
  <c r="AV32" i="1"/>
  <c r="AV46" i="1"/>
  <c r="AV13" i="1"/>
  <c r="AV57" i="1"/>
  <c r="AV20" i="1"/>
  <c r="AV34" i="1"/>
  <c r="AV38" i="1"/>
  <c r="AV8" i="1"/>
  <c r="AV31" i="1"/>
  <c r="AV63" i="1"/>
  <c r="AV51" i="1"/>
  <c r="AV37" i="1"/>
  <c r="AV30" i="1"/>
  <c r="AV62" i="1"/>
  <c r="AV23" i="1"/>
  <c r="AV27" i="1"/>
  <c r="AV45" i="1"/>
  <c r="AV59" i="1"/>
  <c r="AV3" i="1"/>
  <c r="AV19" i="1"/>
  <c r="AV33" i="1"/>
  <c r="AV24" i="1"/>
  <c r="AV61" i="1"/>
  <c r="AV7" i="1"/>
  <c r="AV29" i="1"/>
  <c r="AV12" i="1"/>
  <c r="AV17" i="1"/>
  <c r="AV43" i="1"/>
  <c r="AV55" i="1"/>
  <c r="AV28" i="1"/>
  <c r="AV10" i="1"/>
  <c r="AV16" i="1"/>
  <c r="AV9" i="1"/>
  <c r="AV18" i="1"/>
  <c r="AV54" i="1"/>
  <c r="AV26" i="1"/>
  <c r="AV11" i="1"/>
  <c r="AV48" i="1"/>
  <c r="AV42" i="1"/>
  <c r="AV6" i="1"/>
  <c r="AV2" i="1"/>
  <c r="AV22" i="1"/>
  <c r="AV15" i="1"/>
  <c r="AV49" i="1"/>
  <c r="BG19" i="1"/>
  <c r="BG75" i="1"/>
  <c r="BG73" i="1"/>
  <c r="BG70" i="1"/>
  <c r="BG147" i="1"/>
  <c r="BG41" i="1"/>
  <c r="BG37" i="1"/>
  <c r="BJ37" i="1" s="1"/>
  <c r="BG34" i="1"/>
  <c r="BG84" i="1"/>
  <c r="BJ84" i="1" s="1"/>
  <c r="BG125" i="1"/>
  <c r="BG53" i="1"/>
  <c r="BG155" i="1"/>
  <c r="BG104" i="1"/>
  <c r="BG131" i="1"/>
  <c r="BG44" i="1"/>
  <c r="BG39" i="1"/>
  <c r="BG89" i="1"/>
  <c r="BG20" i="1"/>
  <c r="BG102" i="1"/>
  <c r="BG133" i="1"/>
  <c r="BJ133" i="1" s="1"/>
  <c r="BG114" i="1"/>
  <c r="BJ114" i="1" s="1"/>
  <c r="BG103" i="1"/>
  <c r="BG22" i="1"/>
  <c r="BG130" i="1"/>
  <c r="BJ130" i="1" s="1"/>
  <c r="BG120" i="1"/>
  <c r="BG28" i="1"/>
  <c r="BG119" i="1"/>
  <c r="BG15" i="1"/>
  <c r="BG56" i="1"/>
  <c r="BG61" i="1"/>
  <c r="BG8" i="1"/>
  <c r="BG4" i="1"/>
  <c r="BG26" i="1"/>
  <c r="BJ26" i="1" s="1"/>
  <c r="BG71" i="1"/>
  <c r="BG109" i="1"/>
  <c r="BG42" i="1"/>
  <c r="BG140" i="1"/>
  <c r="BG135" i="1"/>
  <c r="BG12" i="1"/>
  <c r="BG49" i="1"/>
  <c r="BG111" i="1"/>
  <c r="BG158" i="1"/>
  <c r="BG126" i="1"/>
  <c r="BG98" i="1"/>
  <c r="BG146" i="1"/>
  <c r="BG157" i="1"/>
  <c r="BG86" i="1"/>
  <c r="BG92" i="1"/>
  <c r="BG87" i="1"/>
  <c r="BG156" i="1"/>
  <c r="BG80" i="1"/>
  <c r="BG46" i="1"/>
  <c r="BG153" i="1"/>
  <c r="BG150" i="1"/>
  <c r="BG83" i="1"/>
  <c r="BG16" i="1"/>
  <c r="BG78" i="1"/>
  <c r="BJ78" i="1" s="1"/>
  <c r="BG100" i="1"/>
  <c r="BG29" i="1"/>
  <c r="BG23" i="1"/>
  <c r="BG25" i="1"/>
  <c r="BG52" i="1"/>
  <c r="BG11" i="1"/>
  <c r="BG94" i="1"/>
  <c r="BG21" i="1"/>
  <c r="BG79" i="1"/>
  <c r="BG148" i="1"/>
  <c r="BG54" i="1"/>
  <c r="BG143" i="1"/>
  <c r="BG138" i="1"/>
  <c r="BG66" i="1"/>
  <c r="BG141" i="1"/>
  <c r="BG136" i="1"/>
  <c r="BG30" i="1"/>
  <c r="BG107" i="1"/>
  <c r="BG105" i="1"/>
  <c r="BG33" i="1"/>
  <c r="BG129" i="1"/>
  <c r="BG60" i="1"/>
  <c r="BG117" i="1"/>
  <c r="BG112" i="1"/>
  <c r="BJ112" i="1" s="1"/>
  <c r="BG6" i="1"/>
  <c r="BG74" i="1"/>
  <c r="BG72" i="1"/>
  <c r="BG77" i="1"/>
  <c r="BG48" i="1"/>
  <c r="BG95" i="1"/>
  <c r="BG93" i="1"/>
  <c r="BG88" i="1"/>
  <c r="BG38" i="1"/>
  <c r="BG36" i="1"/>
  <c r="BG14" i="1"/>
  <c r="BG97" i="1"/>
  <c r="BG69" i="1"/>
  <c r="BG64" i="1"/>
  <c r="BG151" i="1"/>
  <c r="BG5" i="1"/>
  <c r="BG3" i="1"/>
  <c r="BG145" i="1"/>
  <c r="BG113" i="1"/>
  <c r="BG96" i="1"/>
  <c r="BG45" i="1"/>
  <c r="BG40" i="1"/>
  <c r="BG127" i="1"/>
  <c r="BG82" i="1"/>
  <c r="BJ82" i="1" s="1"/>
  <c r="BG51" i="1"/>
  <c r="BG47" i="1"/>
  <c r="BG55" i="1"/>
  <c r="BG124" i="1"/>
  <c r="BG85" i="1"/>
  <c r="BG128" i="1"/>
  <c r="BG59" i="1"/>
  <c r="BG154" i="1"/>
  <c r="BG31" i="1"/>
  <c r="BG132" i="1"/>
  <c r="BG27" i="1"/>
  <c r="BG76" i="1"/>
  <c r="BG35" i="1"/>
  <c r="BG122" i="1"/>
  <c r="BG115" i="1"/>
  <c r="BG7" i="1"/>
  <c r="BG99" i="1"/>
  <c r="BG57" i="1"/>
  <c r="BG13" i="1"/>
  <c r="BG110" i="1"/>
  <c r="BG68" i="1"/>
  <c r="BG152" i="1"/>
  <c r="BG118" i="1"/>
  <c r="BG139" i="1"/>
  <c r="BG90" i="1"/>
  <c r="BG9" i="1"/>
  <c r="BG91" i="1"/>
  <c r="BG65" i="1"/>
  <c r="BG24" i="1"/>
  <c r="BG137" i="1"/>
  <c r="BG50" i="1"/>
  <c r="BG67" i="1"/>
  <c r="BG144" i="1"/>
  <c r="BG142" i="1"/>
  <c r="BG134" i="1"/>
  <c r="BG32" i="1"/>
  <c r="BG81" i="1"/>
  <c r="BG58" i="1"/>
  <c r="BG149" i="1"/>
  <c r="BG121" i="1"/>
  <c r="BG116" i="1"/>
  <c r="BG63" i="1"/>
  <c r="BG123" i="1"/>
  <c r="BG17" i="1"/>
  <c r="BG62" i="1"/>
  <c r="BG43" i="1"/>
  <c r="BG108" i="1"/>
  <c r="BG106" i="1"/>
  <c r="BG101" i="1"/>
  <c r="BG18" i="1"/>
  <c r="BG10" i="1"/>
  <c r="BG2" i="1"/>
  <c r="AC48" i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  <c r="BJ70" i="1" l="1"/>
  <c r="BJ73" i="1"/>
  <c r="BJ41" i="1"/>
  <c r="BJ139" i="1"/>
  <c r="BJ102" i="1"/>
  <c r="BJ106" i="1"/>
  <c r="BJ20" i="1"/>
  <c r="BJ117" i="1"/>
  <c r="BJ48" i="1"/>
  <c r="BJ135" i="1"/>
  <c r="BJ2" i="1"/>
  <c r="BJ124" i="1"/>
  <c r="BJ25" i="1"/>
  <c r="BJ10" i="1"/>
  <c r="BJ55" i="1"/>
  <c r="BJ155" i="1"/>
  <c r="BJ24" i="1"/>
  <c r="BJ52" i="1"/>
  <c r="BJ65" i="1"/>
  <c r="BJ140" i="1"/>
  <c r="BJ91" i="1"/>
  <c r="BJ23" i="1"/>
  <c r="BJ18" i="1"/>
  <c r="BJ47" i="1"/>
  <c r="BJ74" i="1"/>
  <c r="BJ29" i="1"/>
  <c r="BJ109" i="1"/>
  <c r="BJ53" i="1"/>
  <c r="BJ85" i="1"/>
  <c r="BJ131" i="1"/>
  <c r="BJ77" i="1"/>
  <c r="BJ104" i="1"/>
  <c r="BJ72" i="1"/>
  <c r="BJ42" i="1"/>
  <c r="BJ9" i="1"/>
  <c r="BJ101" i="1"/>
  <c r="BJ90" i="1"/>
  <c r="BJ51" i="1"/>
  <c r="BJ6" i="1"/>
  <c r="BJ100" i="1"/>
  <c r="BJ71" i="1"/>
  <c r="BJ125" i="1"/>
  <c r="BJ127" i="1"/>
  <c r="BJ43" i="1"/>
  <c r="BJ83" i="1"/>
  <c r="BJ45" i="1"/>
  <c r="BJ17" i="1"/>
  <c r="BJ110" i="1"/>
  <c r="BJ96" i="1"/>
  <c r="BJ33" i="1"/>
  <c r="BJ153" i="1"/>
  <c r="BJ56" i="1"/>
  <c r="BJ147" i="1"/>
  <c r="BJ118" i="1"/>
  <c r="BJ34" i="1"/>
  <c r="BJ40" i="1"/>
  <c r="BJ68" i="1"/>
  <c r="BJ61" i="1"/>
  <c r="BJ113" i="1"/>
  <c r="BJ15" i="1"/>
  <c r="BJ145" i="1"/>
  <c r="BJ80" i="1"/>
  <c r="BJ99" i="1"/>
  <c r="BJ30" i="1"/>
  <c r="BJ75" i="1"/>
  <c r="BJ5" i="1"/>
  <c r="BJ87" i="1"/>
  <c r="BJ19" i="1"/>
  <c r="BJ115" i="1"/>
  <c r="BJ141" i="1"/>
  <c r="BJ122" i="1"/>
  <c r="BJ66" i="1"/>
  <c r="BJ86" i="1"/>
  <c r="BJ81" i="1"/>
  <c r="BJ69" i="1"/>
  <c r="BJ157" i="1"/>
  <c r="BJ32" i="1"/>
  <c r="BJ76" i="1"/>
  <c r="BJ143" i="1"/>
  <c r="BJ134" i="1"/>
  <c r="BJ14" i="1"/>
  <c r="BJ98" i="1"/>
  <c r="BJ36" i="1"/>
  <c r="BJ148" i="1"/>
  <c r="BJ144" i="1"/>
  <c r="BJ38" i="1"/>
  <c r="BJ79" i="1"/>
  <c r="BJ154" i="1"/>
  <c r="BJ88" i="1"/>
  <c r="BJ21" i="1"/>
  <c r="BJ111" i="1"/>
  <c r="BJ89" i="1"/>
  <c r="BJ108" i="1"/>
  <c r="BJ16" i="1"/>
  <c r="BJ152" i="1"/>
  <c r="BJ8" i="1"/>
  <c r="BJ150" i="1"/>
  <c r="BJ123" i="1"/>
  <c r="BJ105" i="1"/>
  <c r="BJ63" i="1"/>
  <c r="BJ119" i="1"/>
  <c r="BJ3" i="1"/>
  <c r="BJ28" i="1"/>
  <c r="BJ121" i="1"/>
  <c r="BJ136" i="1"/>
  <c r="BJ120" i="1"/>
  <c r="BJ149" i="1"/>
  <c r="BJ151" i="1"/>
  <c r="BJ92" i="1"/>
  <c r="BJ58" i="1"/>
  <c r="BJ64" i="1"/>
  <c r="BJ22" i="1"/>
  <c r="BJ35" i="1"/>
  <c r="BJ138" i="1"/>
  <c r="BJ103" i="1"/>
  <c r="BJ97" i="1"/>
  <c r="BJ146" i="1"/>
  <c r="BJ27" i="1"/>
  <c r="BJ54" i="1"/>
  <c r="BJ142" i="1"/>
  <c r="BJ132" i="1"/>
  <c r="BJ126" i="1"/>
  <c r="BJ31" i="1"/>
  <c r="BJ158" i="1"/>
  <c r="BJ67" i="1"/>
  <c r="BJ50" i="1"/>
  <c r="BJ59" i="1"/>
  <c r="BJ93" i="1"/>
  <c r="BJ94" i="1"/>
  <c r="BJ49" i="1"/>
  <c r="BJ39" i="1"/>
  <c r="BJ4" i="1"/>
  <c r="BJ60" i="1"/>
  <c r="BJ62" i="1"/>
  <c r="BJ129" i="1"/>
  <c r="BJ13" i="1"/>
  <c r="BJ46" i="1"/>
  <c r="BJ57" i="1"/>
  <c r="BJ107" i="1"/>
  <c r="BJ116" i="1"/>
  <c r="BJ156" i="1"/>
  <c r="BJ7" i="1"/>
  <c r="BJ137" i="1"/>
  <c r="BJ128" i="1"/>
  <c r="BJ95" i="1"/>
  <c r="BJ11" i="1"/>
  <c r="BJ12" i="1"/>
  <c r="BJ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<sst xmlns="http://schemas.openxmlformats.org/spreadsheetml/2006/main" count="29" uniqueCount="15">
  <si>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</si>
  <si>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</si>
  <si>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</si>
  <si>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</si>
  <si>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</si>
  <si>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</si>
  <si>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</si>
  <si>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</si>
  <si>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</si>
  <si>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</si>
  <si>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</si>
  <si>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</si>
  <si>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</si>
  <si>
    <t>Sn</t>
    <phoneticPr fontId="18" type="noConversion"/>
  </si>
  <si>
    <t>Qn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</si>
</sst>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J24008"/>
  <sheetViews>
    <sheetView tabSelected="1" topLeftCell="AL1" workbookViewId="0">
      <selection activeCell="BH1" sqref="BH1:BI1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8.6956521739130432E-2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COUNTIFS(C:C,"=" &amp; AF2)</f>
        <v>330</v>
      </c>
      <c r="AH2">
        <f>AG2/$AG$22</f>
        <v>4.9107142857142856E-2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COUNTIFS(D:D,"=" &amp; AQ2)</f>
        <v>51</v>
      </c>
      <c r="AS2">
        <f>AR2/$AR$64</f>
        <v>4.3776824034334763E-2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0.6745*(AS2-$J$2)/15.53398</f>
        <v>-0.99678076913893543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COUNTIFS(E:E,"=" &amp; BB2)</f>
        <v>8</v>
      </c>
      <c r="BD2">
        <f>BC2/$BC$159</f>
        <v>1.4414414414414415E-2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7">MODE(A:A)</f>
        <v>44</v>
      </c>
      <c r="H3">
        <f>MODE(B:B)</f>
        <v>2</v>
      </c>
      <c r="I3">
        <f t="shared" ref="I3:K3" si="8">MODE(C:C)</f>
        <v>2</v>
      </c>
      <c r="J3">
        <f t="shared" si="8"/>
        <v>17</v>
      </c>
      <c r="K3">
        <f t="shared" si="8"/>
        <v>31</v>
      </c>
      <c r="N3">
        <f>CORREL($C:$C,B:B)</f>
        <v>0.20763166170223171</v>
      </c>
      <c r="O3">
        <f t="shared" ref="O3:Q3" si="9">CORREL($C:$C,C:C)</f>
        <v>1</v>
      </c>
      <c r="P3">
        <f t="shared" si="9"/>
        <v>0.7350018997570853</v>
      </c>
      <c r="Q3">
        <f t="shared" si="9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COUNTIFS(C:C,"=" &amp; AF3)</f>
        <v>4071</v>
      </c>
      <c r="AH3">
        <f t="shared" ref="AH3:AH21" si="19">AG3/$AG$22</f>
        <v>0.60580357142857144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COUNTIFS(D:D,"=" &amp; AQ3)</f>
        <v>333</v>
      </c>
      <c r="AS3">
        <f t="shared" ref="AS3:AS63" si="28">AR3/$AR$64</f>
        <v>0.28583690987124466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0.6745*(AS3-$J$2)/15.53398</f>
        <v>-0.98627029288642365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COUNTIFS(E:E,"=" &amp; BB3)</f>
        <v>25</v>
      </c>
      <c r="BD3">
        <f t="shared" ref="BD3:BD66" si="37">BC3/$BC$159</f>
        <v>4.5045045045045043E-2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6720</v>
      </c>
      <c r="AH4">
        <f t="shared" si="19"/>
        <v>1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311</v>
      </c>
      <c r="AS4">
        <f t="shared" si="28"/>
        <v>0.26695278969957081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-0.98709025911888904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40</v>
      </c>
      <c r="BD4">
        <f t="shared" si="37"/>
        <v>7.2072072072072071E-2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6147</v>
      </c>
      <c r="AH5">
        <f t="shared" si="19"/>
        <v>0.91473214285714288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442</v>
      </c>
      <c r="AS5">
        <f t="shared" si="28"/>
        <v>0.37939914163090127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-0.982207732916481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69</v>
      </c>
      <c r="BD5">
        <f t="shared" si="37"/>
        <v>0.12432432432432433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3938</v>
      </c>
      <c r="AH6">
        <f t="shared" si="19"/>
        <v>0.58601190476190479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678</v>
      </c>
      <c r="AS6">
        <f t="shared" si="28"/>
        <v>0.58197424892703864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-0.97341173151366955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86</v>
      </c>
      <c r="BD6">
        <f t="shared" si="37"/>
        <v>0.15495495495495495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1753</v>
      </c>
      <c r="AH7">
        <f t="shared" si="19"/>
        <v>0.26086309523809526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845</v>
      </c>
      <c r="AS7">
        <f t="shared" si="28"/>
        <v>0.72532188841201717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-0.96718744238540877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90</v>
      </c>
      <c r="BD7">
        <f t="shared" si="37"/>
        <v>0.16216216216216217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621</v>
      </c>
      <c r="AH8">
        <f t="shared" si="19"/>
        <v>9.241071428571429E-2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912</v>
      </c>
      <c r="AS8">
        <f t="shared" si="28"/>
        <v>0.7828326180257511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-0.96469027249562778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180</v>
      </c>
      <c r="BD8">
        <f t="shared" si="37"/>
        <v>0.32432432432432434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203</v>
      </c>
      <c r="AH9">
        <f t="shared" si="19"/>
        <v>3.0208333333333334E-2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1103</v>
      </c>
      <c r="AS9">
        <f t="shared" si="28"/>
        <v>0.94678111587982827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-0.95757147475013205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140</v>
      </c>
      <c r="BD9">
        <f t="shared" si="37"/>
        <v>0.25225225225225223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1.6666666666666666E-2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1016</v>
      </c>
      <c r="AS10">
        <f t="shared" si="28"/>
        <v>0.87210300429184551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-0.9608140684876092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179</v>
      </c>
      <c r="BD10">
        <f t="shared" si="37"/>
        <v>0.3225225225225225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42</v>
      </c>
      <c r="AH11">
        <f t="shared" si="19"/>
        <v>6.2500000000000003E-3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1148</v>
      </c>
      <c r="AS11">
        <f t="shared" si="28"/>
        <v>0.98540772532188836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-0.95589427109281622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203</v>
      </c>
      <c r="BD11">
        <f t="shared" si="37"/>
        <v>0.36576576576576575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15</v>
      </c>
      <c r="AH12">
        <f t="shared" si="19"/>
        <v>2.232142857142857E-3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1165</v>
      </c>
      <c r="AS12">
        <f t="shared" si="28"/>
        <v>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-0.95526066082227479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241</v>
      </c>
      <c r="BD12">
        <f t="shared" si="37"/>
        <v>0.43423423423423424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13</v>
      </c>
      <c r="AH13">
        <f t="shared" si="19"/>
        <v>1.9345238095238096E-3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1150</v>
      </c>
      <c r="AS13">
        <f t="shared" si="28"/>
        <v>0.98712446351931327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-0.95581972870804666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260</v>
      </c>
      <c r="BD13">
        <f t="shared" si="37"/>
        <v>0.46846846846846846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16</v>
      </c>
      <c r="AH14">
        <f t="shared" si="19"/>
        <v>2.3809523809523812E-3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1128</v>
      </c>
      <c r="AS14">
        <f t="shared" si="28"/>
        <v>0.96824034334763953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-0.95663969494051226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272</v>
      </c>
      <c r="BD14">
        <f t="shared" si="37"/>
        <v>0.49009009009009008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10</v>
      </c>
      <c r="AH15">
        <f t="shared" si="19"/>
        <v>1.488095238095238E-3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1082</v>
      </c>
      <c r="AS15">
        <f t="shared" si="28"/>
        <v>0.92875536480686693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-0.95835416979021271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254</v>
      </c>
      <c r="BD15">
        <f t="shared" si="37"/>
        <v>0.45765765765765765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6.5217391304347824E-2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5</v>
      </c>
      <c r="AH16">
        <f t="shared" si="19"/>
        <v>7.4404761904761901E-4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1055</v>
      </c>
      <c r="AS16">
        <f t="shared" si="28"/>
        <v>0.90557939914163088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-0.95936049198460227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302</v>
      </c>
      <c r="BD16">
        <f t="shared" si="37"/>
        <v>0.54414414414414414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6.5217391304347824E-2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4</v>
      </c>
      <c r="AH17">
        <f t="shared" si="19"/>
        <v>5.9523809523809529E-4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998</v>
      </c>
      <c r="AS17">
        <f t="shared" si="28"/>
        <v>0.85665236051502147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-0.96148494995053546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381</v>
      </c>
      <c r="BD17">
        <f t="shared" si="37"/>
        <v>0.68648648648648647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4</v>
      </c>
      <c r="AH18">
        <f t="shared" si="19"/>
        <v>5.9523809523809529E-4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941</v>
      </c>
      <c r="AS18">
        <f t="shared" si="28"/>
        <v>0.80772532188841206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-0.96360940791646865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368</v>
      </c>
      <c r="BD18">
        <f t="shared" si="37"/>
        <v>0.66306306306306306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>_xlfn.PERCENTILE.INC(A:A,0.9)</f>
        <v>90</v>
      </c>
      <c r="H19">
        <f t="shared" ref="H19:K19" si="65">_xlfn.PERCENTILE.INC(B:B,0.9)</f>
        <v>10</v>
      </c>
      <c r="I19">
        <f t="shared" si="65"/>
        <v>6</v>
      </c>
      <c r="J19">
        <f t="shared" si="65"/>
        <v>48</v>
      </c>
      <c r="K19">
        <f t="shared" si="65"/>
        <v>77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6.5217391304347824E-2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1</v>
      </c>
      <c r="AH19">
        <f t="shared" si="19"/>
        <v>1.4880952380952382E-4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910</v>
      </c>
      <c r="AS19">
        <f t="shared" si="28"/>
        <v>0.7811158798283262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-0.96476481488039723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373</v>
      </c>
      <c r="BD19">
        <f t="shared" si="37"/>
        <v>0.67207207207207209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 t="shared" ref="H20:K20" si="66">_xlfn.PERCENTILE.INC(B:B,0.75)</f>
        <v>5</v>
      </c>
      <c r="I20">
        <f t="shared" si="66"/>
        <v>5</v>
      </c>
      <c r="J20">
        <f t="shared" si="66"/>
        <v>35</v>
      </c>
      <c r="K20">
        <f t="shared" si="66"/>
        <v>60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6.5217391304347824E-2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1.4880952380952382E-4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798</v>
      </c>
      <c r="AS20">
        <f t="shared" si="28"/>
        <v>0.68497854077253217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-0.96893918842749416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382</v>
      </c>
      <c r="BD20">
        <f t="shared" si="37"/>
        <v>0.68828828828828825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0.10869565217391304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1</v>
      </c>
      <c r="AH21">
        <f t="shared" si="19"/>
        <v>1.4880952380952382E-4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807</v>
      </c>
      <c r="AS21">
        <f t="shared" si="28"/>
        <v>0.69270386266094419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-0.96860374769603108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553</v>
      </c>
      <c r="BD21">
        <f t="shared" si="37"/>
        <v>0.99639639639639643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>_xlfn.PERCENTILE.INC(A:A,0.1)</f>
        <v>28</v>
      </c>
      <c r="H22">
        <f t="shared" ref="H22:K22" si="68">_xlfn.PERCENTILE.INC(B:B,0.1)</f>
        <v>0</v>
      </c>
      <c r="I22">
        <f t="shared" si="68"/>
        <v>1</v>
      </c>
      <c r="J22">
        <f t="shared" si="68"/>
        <v>8</v>
      </c>
      <c r="K22">
        <f t="shared" si="68"/>
        <v>15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8.6956521739130432E-2</v>
      </c>
      <c r="AB22">
        <f t="shared" si="16"/>
        <v>8.3113978848441334</v>
      </c>
      <c r="AC22">
        <f t="shared" si="17"/>
        <v>0.56521739130434778</v>
      </c>
      <c r="AG22">
        <f>MAX(AG2:AG21)</f>
        <v>6720</v>
      </c>
      <c r="AJ22">
        <f>MEDIAN(AJ2:AJ21)</f>
        <v>7.5</v>
      </c>
      <c r="AQ22">
        <v>33</v>
      </c>
      <c r="AR22">
        <f t="shared" si="27"/>
        <v>715</v>
      </c>
      <c r="AS22">
        <f t="shared" si="28"/>
        <v>0.61373390557939911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-0.9720326973954323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369</v>
      </c>
      <c r="BD22">
        <f t="shared" si="37"/>
        <v>0.66486486486486485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0.30434782608695654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587</v>
      </c>
      <c r="AS23">
        <f t="shared" si="28"/>
        <v>0.50386266094420595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-0.97680341002068571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401</v>
      </c>
      <c r="BD23">
        <f t="shared" si="37"/>
        <v>0.72252252252252247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645</v>
      </c>
      <c r="AS24">
        <f t="shared" si="28"/>
        <v>0.55364806866952787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-0.9746416808623678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382</v>
      </c>
      <c r="BD24">
        <f t="shared" si="37"/>
        <v>0.68828828828828825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542</v>
      </c>
      <c r="AS25">
        <f t="shared" si="28"/>
        <v>0.46523605150214592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-0.97848061367800165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453</v>
      </c>
      <c r="BD25">
        <f t="shared" si="37"/>
        <v>0.81621621621621621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6.5217391304347824E-2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481</v>
      </c>
      <c r="AS26">
        <f t="shared" si="28"/>
        <v>0.4128755364806867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-0.98075415641347408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411</v>
      </c>
      <c r="BD26">
        <f t="shared" si="37"/>
        <v>0.74054054054054053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0.21739130434782608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468</v>
      </c>
      <c r="AS27">
        <f t="shared" si="28"/>
        <v>0.40171673819742487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-0.98123868191447638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400</v>
      </c>
      <c r="BD27">
        <f t="shared" si="37"/>
        <v>0.72072072072072069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398</v>
      </c>
      <c r="AS28">
        <f t="shared" si="28"/>
        <v>0.34163090128755363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-0.98384766538141188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400</v>
      </c>
      <c r="BD28">
        <f t="shared" si="37"/>
        <v>0.72072072072072069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0.17391304347826086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342</v>
      </c>
      <c r="AS29">
        <f t="shared" si="28"/>
        <v>0.29356223175965668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-0.98593485215496035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396</v>
      </c>
      <c r="BD29">
        <f t="shared" si="37"/>
        <v>0.71351351351351355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0.15217391304347827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374</v>
      </c>
      <c r="AS30">
        <f t="shared" si="28"/>
        <v>0.32103004291845494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-0.98474217399864694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492</v>
      </c>
      <c r="BD30">
        <f t="shared" si="37"/>
        <v>0.88648648648648654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0.39130434782608697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297</v>
      </c>
      <c r="AS31">
        <f t="shared" si="28"/>
        <v>0.25493562231759659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-0.98761205581227607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386</v>
      </c>
      <c r="BD31">
        <f t="shared" si="37"/>
        <v>0.6954954954954955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0.13043478260869565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242</v>
      </c>
      <c r="AS32">
        <f t="shared" si="28"/>
        <v>0.20772532188841203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-0.98966197139343981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418</v>
      </c>
      <c r="BD32">
        <f t="shared" si="37"/>
        <v>0.75315315315315312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0.34782608695652173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242</v>
      </c>
      <c r="AS33">
        <f t="shared" si="28"/>
        <v>0.20772532188841203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-0.98966197139343981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555</v>
      </c>
      <c r="BD33">
        <f t="shared" si="37"/>
        <v>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0.10869565217391304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404</v>
      </c>
      <c r="AS34">
        <f t="shared" si="28"/>
        <v>0.34678111587982835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-0.98362403822710309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400</v>
      </c>
      <c r="BD34">
        <f t="shared" si="37"/>
        <v>0.72072072072072069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0.30434782608695654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161</v>
      </c>
      <c r="AS35">
        <f t="shared" si="28"/>
        <v>0.13819742489270387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-0.99268093797660828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369</v>
      </c>
      <c r="BD35">
        <f t="shared" si="37"/>
        <v>0.66486486486486485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0.28260869565217389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147</v>
      </c>
      <c r="AS36">
        <f t="shared" si="28"/>
        <v>0.12618025751072962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-0.99320273466999531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393</v>
      </c>
      <c r="BD36">
        <f t="shared" si="37"/>
        <v>0.70810810810810809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0.2608695652173913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275</v>
      </c>
      <c r="AS37">
        <f t="shared" si="28"/>
        <v>0.23605150214592274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-0.98843202204474157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356</v>
      </c>
      <c r="BD37">
        <f t="shared" si="37"/>
        <v>0.64144144144144144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8.6956521739130432E-2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106</v>
      </c>
      <c r="AS38">
        <f t="shared" si="28"/>
        <v>9.0987124463519309E-2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-0.99473085355777169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392</v>
      </c>
      <c r="BD38">
        <f t="shared" si="37"/>
        <v>0.70630630630630631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0.21739130434782608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154</v>
      </c>
      <c r="AS39">
        <f t="shared" si="28"/>
        <v>0.13218884120171673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-0.99294183632330169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323</v>
      </c>
      <c r="BD39">
        <f t="shared" si="37"/>
        <v>0.58198198198198203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6.5217391304347824E-2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67</v>
      </c>
      <c r="AS40">
        <f t="shared" si="28"/>
        <v>5.7510729613733907E-2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-0.99618443006077873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349</v>
      </c>
      <c r="BD40">
        <f t="shared" si="37"/>
        <v>0.62882882882882885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0.17391304347826086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57</v>
      </c>
      <c r="AS41">
        <f t="shared" si="28"/>
        <v>4.8927038626609444E-2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-0.99655714198462675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294</v>
      </c>
      <c r="BD41">
        <f t="shared" si="37"/>
        <v>0.52972972972972976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106</v>
      </c>
      <c r="AS42">
        <f t="shared" si="28"/>
        <v>9.0987124463519309E-2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-0.99473085355777169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312</v>
      </c>
      <c r="BD42">
        <f t="shared" si="37"/>
        <v>0.56216216216216219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0.13043478260869565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46</v>
      </c>
      <c r="AS43">
        <f t="shared" si="28"/>
        <v>3.9484978540772535E-2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-0.99696712510085939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313</v>
      </c>
      <c r="BD43">
        <f t="shared" si="37"/>
        <v>0.56396396396396398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0.10869565217391304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54</v>
      </c>
      <c r="AS44">
        <f t="shared" si="28"/>
        <v>4.63519313304721E-2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-0.99666895556178103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282</v>
      </c>
      <c r="BD44">
        <f t="shared" si="37"/>
        <v>0.50810810810810814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8.6956521739130432E-2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37</v>
      </c>
      <c r="AS45">
        <f t="shared" si="28"/>
        <v>3.1759656652360517E-2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-0.99730256583232246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276</v>
      </c>
      <c r="BD45">
        <f t="shared" si="37"/>
        <v>0.49729729729729732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6.5217391304347824E-2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52</v>
      </c>
      <c r="AS46">
        <f t="shared" si="28"/>
        <v>4.4635193133047209E-2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-0.99674349794655071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359</v>
      </c>
      <c r="BD46">
        <f t="shared" si="37"/>
        <v>0.6468468468468469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19</v>
      </c>
      <c r="AS47">
        <f t="shared" si="28"/>
        <v>1.6309012875536481E-2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-0.99797344729524906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266</v>
      </c>
      <c r="BD47">
        <f t="shared" si="37"/>
        <v>0.47927927927927927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13</v>
      </c>
      <c r="AS48">
        <f t="shared" si="28"/>
        <v>1.1158798283261802E-2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-0.99819707444955763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263</v>
      </c>
      <c r="BD48">
        <f t="shared" si="37"/>
        <v>0.47387387387387386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34</v>
      </c>
      <c r="AS49">
        <f t="shared" si="28"/>
        <v>2.9184549356223177E-2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-0.99741437940947697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235</v>
      </c>
      <c r="BD49">
        <f t="shared" si="37"/>
        <v>0.42342342342342343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15</v>
      </c>
      <c r="AS50">
        <f t="shared" si="28"/>
        <v>1.2875536480686695E-2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-0.99812253206478818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235</v>
      </c>
      <c r="BD50">
        <f t="shared" si="37"/>
        <v>0.42342342342342343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11</v>
      </c>
      <c r="AS51">
        <f t="shared" si="28"/>
        <v>9.4420600858369091E-3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-0.99827161683432719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249</v>
      </c>
      <c r="BD51">
        <f t="shared" si="37"/>
        <v>0.44864864864864867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7</v>
      </c>
      <c r="AS52">
        <f t="shared" si="28"/>
        <v>6.0085836909871248E-3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-0.99842070160386631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128</v>
      </c>
      <c r="BD52">
        <f t="shared" si="37"/>
        <v>0.23063063063063063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</v>
      </c>
      <c r="AS53">
        <f t="shared" si="28"/>
        <v>2.5751072961373391E-3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-0.99856978637340554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242</v>
      </c>
      <c r="BD53">
        <f t="shared" si="37"/>
        <v>0.43603603603603602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10</v>
      </c>
      <c r="AS54">
        <f t="shared" si="28"/>
        <v>8.5836909871244635E-3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-0.99830888802671214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309</v>
      </c>
      <c r="BD54">
        <f t="shared" si="37"/>
        <v>0.55675675675675673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</v>
      </c>
      <c r="AS55">
        <f t="shared" si="28"/>
        <v>1.7167381974248926E-3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-0.99860705756579049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320</v>
      </c>
      <c r="BD55">
        <f t="shared" si="37"/>
        <v>0.57657657657657657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5</v>
      </c>
      <c r="AS56">
        <f t="shared" si="28"/>
        <v>4.2918454935622317E-3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-0.99849524398863609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271</v>
      </c>
      <c r="BD56">
        <f t="shared" si="37"/>
        <v>0.4882882882882883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</v>
      </c>
      <c r="AS57">
        <f t="shared" si="28"/>
        <v>8.5836909871244631E-4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-0.99864432875817521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290</v>
      </c>
      <c r="BD57">
        <f t="shared" si="37"/>
        <v>0.52252252252252251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</v>
      </c>
      <c r="AS58">
        <f t="shared" si="28"/>
        <v>8.5836909871244631E-4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-0.99864432875817521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309</v>
      </c>
      <c r="BD58">
        <f t="shared" si="37"/>
        <v>0.55675675675675673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4</v>
      </c>
      <c r="AS59">
        <f t="shared" si="28"/>
        <v>3.4334763948497852E-3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-0.99853251518102082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274</v>
      </c>
      <c r="BD59">
        <f t="shared" si="37"/>
        <v>0.4936936936936937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2</v>
      </c>
      <c r="AS60">
        <f t="shared" si="28"/>
        <v>1.7167381974248926E-3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-0.99860705756579049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276</v>
      </c>
      <c r="BD60">
        <f t="shared" si="37"/>
        <v>0.49729729729729732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3</v>
      </c>
      <c r="AS61">
        <f t="shared" si="28"/>
        <v>2.5751072961373391E-3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-0.99856978637340554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263</v>
      </c>
      <c r="BD61">
        <f t="shared" si="37"/>
        <v>0.47387387387387386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4</v>
      </c>
      <c r="AS62">
        <f t="shared" si="28"/>
        <v>3.4334763948497852E-3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-0.99853251518102082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274</v>
      </c>
      <c r="BD62">
        <f t="shared" si="37"/>
        <v>0.4936936936936937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1</v>
      </c>
      <c r="AS63">
        <f t="shared" si="28"/>
        <v>8.5836909871244631E-4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-0.99864432875817521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274</v>
      </c>
      <c r="BD63">
        <f t="shared" si="37"/>
        <v>0.4936936936936937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1165</v>
      </c>
      <c r="AU64">
        <f>MEDIAN(AU2:AU63)</f>
        <v>27.5</v>
      </c>
      <c r="BB64">
        <v>62</v>
      </c>
      <c r="BC64">
        <f t="shared" si="36"/>
        <v>241</v>
      </c>
      <c r="BD64">
        <f t="shared" si="37"/>
        <v>0.43423423423423424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280</v>
      </c>
      <c r="BD65">
        <f t="shared" si="37"/>
        <v>0.50450450450450446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223</v>
      </c>
      <c r="BD66">
        <f t="shared" si="37"/>
        <v>0.40180180180180181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69">COUNTIFS(E:E,"=" &amp; BB67)</f>
        <v>231</v>
      </c>
      <c r="BD67">
        <f t="shared" ref="BD67:BD130" si="70">BC67/$BC$159</f>
        <v>0.41621621621621624</v>
      </c>
      <c r="BE67">
        <f t="shared" ref="BE67:BE86" si="71">MAX(0,(BB67-$K$11)/$K$7)</f>
        <v>0.13513513513513514</v>
      </c>
      <c r="BF67">
        <f t="shared" ref="BF67:BF130" si="72">ABS(BB67-$K$2)</f>
        <v>27</v>
      </c>
      <c r="BG67">
        <f t="shared" ref="BG67:BG130" si="73">0.6745*(BB67-$K$2)/$BF$159</f>
        <v>0.45528750000000001</v>
      </c>
      <c r="BH67">
        <f t="shared" ref="BH67:BH130" si="74">(BB67-$K$2)/25.0446</f>
        <v>1.0780767111473133</v>
      </c>
      <c r="BI67">
        <f t="shared" ref="BI67:BI130" si="75">(BB67-$K$2)/24.4105</f>
        <v>1.1060813993978003</v>
      </c>
      <c r="BJ67">
        <f t="shared" ref="BJ67:BJ130" si="76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69"/>
        <v>238</v>
      </c>
      <c r="BD68">
        <f t="shared" si="70"/>
        <v>0.42882882882882883</v>
      </c>
      <c r="BE68">
        <f t="shared" si="71"/>
        <v>0.16216216216216217</v>
      </c>
      <c r="BF68">
        <f t="shared" si="72"/>
        <v>28</v>
      </c>
      <c r="BG68">
        <f t="shared" si="73"/>
        <v>0.47214999999999996</v>
      </c>
      <c r="BH68">
        <f t="shared" si="74"/>
        <v>1.1180054782268434</v>
      </c>
      <c r="BI68">
        <f t="shared" si="75"/>
        <v>1.1470473771532743</v>
      </c>
      <c r="BJ68">
        <f t="shared" si="76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69"/>
        <v>275</v>
      </c>
      <c r="BD69">
        <f t="shared" si="70"/>
        <v>0.49549549549549549</v>
      </c>
      <c r="BE69">
        <f t="shared" si="71"/>
        <v>0.1891891891891892</v>
      </c>
      <c r="BF69">
        <f t="shared" si="72"/>
        <v>29</v>
      </c>
      <c r="BG69">
        <f t="shared" si="73"/>
        <v>0.48901250000000002</v>
      </c>
      <c r="BH69">
        <f t="shared" si="74"/>
        <v>1.1579342453063735</v>
      </c>
      <c r="BI69">
        <f t="shared" si="75"/>
        <v>1.1880133549087484</v>
      </c>
      <c r="BJ69">
        <f t="shared" si="76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69"/>
        <v>189</v>
      </c>
      <c r="BD70">
        <f t="shared" si="70"/>
        <v>0.34054054054054056</v>
      </c>
      <c r="BE70">
        <f t="shared" si="71"/>
        <v>0.21621621621621623</v>
      </c>
      <c r="BF70">
        <f t="shared" si="72"/>
        <v>30</v>
      </c>
      <c r="BG70">
        <f t="shared" si="73"/>
        <v>0.50587499999999996</v>
      </c>
      <c r="BH70">
        <f t="shared" si="74"/>
        <v>1.1978630123859035</v>
      </c>
      <c r="BI70">
        <f t="shared" si="75"/>
        <v>1.2289793326642224</v>
      </c>
      <c r="BJ70">
        <f t="shared" si="76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69"/>
        <v>230</v>
      </c>
      <c r="BD71">
        <f t="shared" si="70"/>
        <v>0.4144144144144144</v>
      </c>
      <c r="BE71">
        <f t="shared" si="71"/>
        <v>0.24324324324324326</v>
      </c>
      <c r="BF71">
        <f t="shared" si="72"/>
        <v>31</v>
      </c>
      <c r="BG71">
        <f t="shared" si="73"/>
        <v>0.52273750000000008</v>
      </c>
      <c r="BH71">
        <f t="shared" si="74"/>
        <v>1.2377917794654336</v>
      </c>
      <c r="BI71">
        <f t="shared" si="75"/>
        <v>1.2699453104196965</v>
      </c>
      <c r="BJ71">
        <f t="shared" si="76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69"/>
        <v>188</v>
      </c>
      <c r="BD72">
        <f t="shared" si="70"/>
        <v>0.33873873873873872</v>
      </c>
      <c r="BE72">
        <f t="shared" si="71"/>
        <v>0.27027027027027029</v>
      </c>
      <c r="BF72">
        <f t="shared" si="72"/>
        <v>32</v>
      </c>
      <c r="BG72">
        <f t="shared" si="73"/>
        <v>0.53959999999999997</v>
      </c>
      <c r="BH72">
        <f t="shared" si="74"/>
        <v>1.2777205465449639</v>
      </c>
      <c r="BI72">
        <f t="shared" si="75"/>
        <v>1.3109112881751706</v>
      </c>
      <c r="BJ72">
        <f t="shared" si="76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69"/>
        <v>200</v>
      </c>
      <c r="BD73">
        <f t="shared" si="70"/>
        <v>0.36036036036036034</v>
      </c>
      <c r="BE73">
        <f t="shared" si="71"/>
        <v>0.29729729729729731</v>
      </c>
      <c r="BF73">
        <f t="shared" si="72"/>
        <v>33</v>
      </c>
      <c r="BG73">
        <f t="shared" si="73"/>
        <v>0.55646249999999997</v>
      </c>
      <c r="BH73">
        <f t="shared" si="74"/>
        <v>1.317649313624494</v>
      </c>
      <c r="BI73">
        <f t="shared" si="75"/>
        <v>1.3518772659306446</v>
      </c>
      <c r="BJ73">
        <f t="shared" si="76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69"/>
        <v>182</v>
      </c>
      <c r="BD74">
        <f t="shared" si="70"/>
        <v>0.32792792792792791</v>
      </c>
      <c r="BE74">
        <f t="shared" si="71"/>
        <v>0.32432432432432434</v>
      </c>
      <c r="BF74">
        <f t="shared" si="72"/>
        <v>34</v>
      </c>
      <c r="BG74">
        <f t="shared" si="73"/>
        <v>0.57332499999999997</v>
      </c>
      <c r="BH74">
        <f t="shared" si="74"/>
        <v>1.3575780807040241</v>
      </c>
      <c r="BI74">
        <f t="shared" si="75"/>
        <v>1.3928432436861187</v>
      </c>
      <c r="BJ74">
        <f t="shared" si="76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69"/>
        <v>156</v>
      </c>
      <c r="BD75">
        <f t="shared" si="70"/>
        <v>0.2810810810810811</v>
      </c>
      <c r="BE75">
        <f t="shared" si="71"/>
        <v>0.35135135135135137</v>
      </c>
      <c r="BF75">
        <f t="shared" si="72"/>
        <v>35</v>
      </c>
      <c r="BG75">
        <f t="shared" si="73"/>
        <v>0.59018749999999998</v>
      </c>
      <c r="BH75">
        <f t="shared" si="74"/>
        <v>1.3975068477835542</v>
      </c>
      <c r="BI75">
        <f t="shared" si="75"/>
        <v>1.4338092214415927</v>
      </c>
      <c r="BJ75">
        <f t="shared" si="76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69"/>
        <v>168</v>
      </c>
      <c r="BD76">
        <f t="shared" si="70"/>
        <v>0.30270270270270272</v>
      </c>
      <c r="BE76">
        <f t="shared" si="71"/>
        <v>0.3783783783783784</v>
      </c>
      <c r="BF76">
        <f t="shared" si="72"/>
        <v>36</v>
      </c>
      <c r="BG76">
        <f t="shared" si="73"/>
        <v>0.60704999999999998</v>
      </c>
      <c r="BH76">
        <f t="shared" si="74"/>
        <v>1.4374356148630842</v>
      </c>
      <c r="BI76">
        <f t="shared" si="75"/>
        <v>1.4747751991970668</v>
      </c>
      <c r="BJ76">
        <f t="shared" si="76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69"/>
        <v>144</v>
      </c>
      <c r="BD77">
        <f t="shared" si="70"/>
        <v>0.25945945945945947</v>
      </c>
      <c r="BE77">
        <f t="shared" si="71"/>
        <v>0.40540540540540543</v>
      </c>
      <c r="BF77">
        <f t="shared" si="72"/>
        <v>37</v>
      </c>
      <c r="BG77">
        <f t="shared" si="73"/>
        <v>0.62391249999999998</v>
      </c>
      <c r="BH77">
        <f t="shared" si="74"/>
        <v>1.4773643819426143</v>
      </c>
      <c r="BI77">
        <f t="shared" si="75"/>
        <v>1.5157411769525411</v>
      </c>
      <c r="BJ77">
        <f t="shared" si="76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69"/>
        <v>154</v>
      </c>
      <c r="BD78">
        <f t="shared" si="70"/>
        <v>0.27747747747747747</v>
      </c>
      <c r="BE78">
        <f t="shared" si="71"/>
        <v>0.43243243243243246</v>
      </c>
      <c r="BF78">
        <f t="shared" si="72"/>
        <v>38</v>
      </c>
      <c r="BG78">
        <f t="shared" si="73"/>
        <v>0.64077499999999998</v>
      </c>
      <c r="BH78">
        <f t="shared" si="74"/>
        <v>1.5172931490221446</v>
      </c>
      <c r="BI78">
        <f t="shared" si="75"/>
        <v>1.5567071547080151</v>
      </c>
      <c r="BJ78">
        <f t="shared" si="76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69"/>
        <v>174</v>
      </c>
      <c r="BD79">
        <f t="shared" si="70"/>
        <v>0.31351351351351353</v>
      </c>
      <c r="BE79">
        <f t="shared" si="71"/>
        <v>0.45945945945945948</v>
      </c>
      <c r="BF79">
        <f t="shared" si="72"/>
        <v>39</v>
      </c>
      <c r="BG79">
        <f t="shared" si="73"/>
        <v>0.65763749999999999</v>
      </c>
      <c r="BH79">
        <f t="shared" si="74"/>
        <v>1.5572219161016747</v>
      </c>
      <c r="BI79">
        <f t="shared" si="75"/>
        <v>1.5976731324634892</v>
      </c>
      <c r="BJ79">
        <f t="shared" si="76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69"/>
        <v>136</v>
      </c>
      <c r="BD80">
        <f t="shared" si="70"/>
        <v>0.24504504504504504</v>
      </c>
      <c r="BE80">
        <f t="shared" si="71"/>
        <v>0.48648648648648651</v>
      </c>
      <c r="BF80">
        <f t="shared" si="72"/>
        <v>40</v>
      </c>
      <c r="BG80">
        <f t="shared" si="73"/>
        <v>0.67449999999999999</v>
      </c>
      <c r="BH80">
        <f t="shared" si="74"/>
        <v>1.5971506831812048</v>
      </c>
      <c r="BI80">
        <f t="shared" si="75"/>
        <v>1.6386391102189632</v>
      </c>
      <c r="BJ80">
        <f t="shared" si="76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69"/>
        <v>149</v>
      </c>
      <c r="BD81">
        <f t="shared" si="70"/>
        <v>0.26846846846846845</v>
      </c>
      <c r="BE81">
        <f t="shared" si="71"/>
        <v>0.51351351351351349</v>
      </c>
      <c r="BF81">
        <f t="shared" si="72"/>
        <v>41</v>
      </c>
      <c r="BG81">
        <f t="shared" si="73"/>
        <v>0.69136249999999999</v>
      </c>
      <c r="BH81">
        <f t="shared" si="74"/>
        <v>1.6370794502607349</v>
      </c>
      <c r="BI81">
        <f t="shared" si="75"/>
        <v>1.6796050879744373</v>
      </c>
      <c r="BJ81">
        <f t="shared" si="76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69"/>
        <v>96</v>
      </c>
      <c r="BD82">
        <f t="shared" si="70"/>
        <v>0.17297297297297298</v>
      </c>
      <c r="BE82">
        <f t="shared" si="71"/>
        <v>0.54054054054054057</v>
      </c>
      <c r="BF82">
        <f t="shared" si="72"/>
        <v>42</v>
      </c>
      <c r="BG82">
        <f t="shared" si="73"/>
        <v>0.70822499999999999</v>
      </c>
      <c r="BH82">
        <f t="shared" si="74"/>
        <v>1.677008217340265</v>
      </c>
      <c r="BI82">
        <f t="shared" si="75"/>
        <v>1.7205710657299114</v>
      </c>
      <c r="BJ82">
        <f t="shared" si="76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69"/>
        <v>127</v>
      </c>
      <c r="BD83">
        <f t="shared" si="70"/>
        <v>0.22882882882882882</v>
      </c>
      <c r="BE83">
        <f t="shared" si="71"/>
        <v>0.56756756756756754</v>
      </c>
      <c r="BF83">
        <f t="shared" si="72"/>
        <v>43</v>
      </c>
      <c r="BG83">
        <f t="shared" si="73"/>
        <v>0.7250875</v>
      </c>
      <c r="BH83">
        <f t="shared" si="74"/>
        <v>1.7169369844197953</v>
      </c>
      <c r="BI83">
        <f t="shared" si="75"/>
        <v>1.7615370434853854</v>
      </c>
      <c r="BJ83">
        <f t="shared" si="76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69"/>
        <v>115</v>
      </c>
      <c r="BD84">
        <f t="shared" si="70"/>
        <v>0.2072072072072072</v>
      </c>
      <c r="BE84">
        <f t="shared" si="71"/>
        <v>0.59459459459459463</v>
      </c>
      <c r="BF84">
        <f t="shared" si="72"/>
        <v>44</v>
      </c>
      <c r="BG84">
        <f t="shared" si="73"/>
        <v>0.74195</v>
      </c>
      <c r="BH84">
        <f t="shared" si="74"/>
        <v>1.7568657514993253</v>
      </c>
      <c r="BI84">
        <f t="shared" si="75"/>
        <v>1.8025030212408595</v>
      </c>
      <c r="BJ84">
        <f t="shared" si="76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69"/>
        <v>99</v>
      </c>
      <c r="BD85">
        <f t="shared" si="70"/>
        <v>0.17837837837837839</v>
      </c>
      <c r="BE85">
        <f t="shared" si="71"/>
        <v>0.6216216216216216</v>
      </c>
      <c r="BF85">
        <f t="shared" si="72"/>
        <v>45</v>
      </c>
      <c r="BG85">
        <f t="shared" si="73"/>
        <v>0.7588125</v>
      </c>
      <c r="BH85">
        <f t="shared" si="74"/>
        <v>1.7967945185788554</v>
      </c>
      <c r="BI85">
        <f t="shared" si="75"/>
        <v>1.8434689989963335</v>
      </c>
      <c r="BJ85">
        <f t="shared" si="76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69"/>
        <v>106</v>
      </c>
      <c r="BD86">
        <f t="shared" si="70"/>
        <v>0.19099099099099098</v>
      </c>
      <c r="BE86">
        <f t="shared" si="71"/>
        <v>0.64864864864864868</v>
      </c>
      <c r="BF86">
        <f t="shared" si="72"/>
        <v>46</v>
      </c>
      <c r="BG86">
        <f t="shared" si="73"/>
        <v>0.775675</v>
      </c>
      <c r="BH86">
        <f t="shared" si="74"/>
        <v>1.8367232856583855</v>
      </c>
      <c r="BI86">
        <f t="shared" si="75"/>
        <v>1.8844349767518076</v>
      </c>
      <c r="BJ86">
        <f t="shared" si="76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69"/>
        <v>87</v>
      </c>
      <c r="BD87">
        <f t="shared" si="70"/>
        <v>0.15675675675675677</v>
      </c>
      <c r="BE87">
        <f t="shared" ref="BE87:BE130" si="77">(BB87-$K$2)/$K$7</f>
        <v>1.2702702702702702</v>
      </c>
      <c r="BF87">
        <f t="shared" si="72"/>
        <v>47</v>
      </c>
      <c r="BG87">
        <f t="shared" si="73"/>
        <v>0.79253750000000001</v>
      </c>
      <c r="BH87">
        <f t="shared" si="74"/>
        <v>1.8766520527379156</v>
      </c>
      <c r="BI87">
        <f t="shared" si="75"/>
        <v>1.9254009545072819</v>
      </c>
      <c r="BJ87">
        <f t="shared" si="76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69"/>
        <v>70</v>
      </c>
      <c r="BD88">
        <f t="shared" si="70"/>
        <v>0.12612612612612611</v>
      </c>
      <c r="BE88">
        <f t="shared" si="77"/>
        <v>1.2972972972972974</v>
      </c>
      <c r="BF88">
        <f t="shared" si="72"/>
        <v>48</v>
      </c>
      <c r="BG88">
        <f t="shared" si="73"/>
        <v>0.8093999999999999</v>
      </c>
      <c r="BH88">
        <f t="shared" si="74"/>
        <v>1.9165808198174457</v>
      </c>
      <c r="BI88">
        <f t="shared" si="75"/>
        <v>1.9663669322627559</v>
      </c>
      <c r="BJ88">
        <f t="shared" si="76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69"/>
        <v>70</v>
      </c>
      <c r="BD89">
        <f t="shared" si="70"/>
        <v>0.12612612612612611</v>
      </c>
      <c r="BE89">
        <f t="shared" si="77"/>
        <v>1.3243243243243243</v>
      </c>
      <c r="BF89">
        <f t="shared" si="72"/>
        <v>49</v>
      </c>
      <c r="BG89">
        <f t="shared" si="73"/>
        <v>0.82626250000000001</v>
      </c>
      <c r="BH89">
        <f t="shared" si="74"/>
        <v>1.956509586896976</v>
      </c>
      <c r="BI89">
        <f t="shared" si="75"/>
        <v>2.00733291001823</v>
      </c>
      <c r="BJ89">
        <f t="shared" si="76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69"/>
        <v>68</v>
      </c>
      <c r="BD90">
        <f t="shared" si="70"/>
        <v>0.12252252252252252</v>
      </c>
      <c r="BE90">
        <f t="shared" si="77"/>
        <v>1.3513513513513513</v>
      </c>
      <c r="BF90">
        <f t="shared" si="72"/>
        <v>50</v>
      </c>
      <c r="BG90">
        <f t="shared" si="73"/>
        <v>0.84312500000000001</v>
      </c>
      <c r="BH90">
        <f t="shared" si="74"/>
        <v>1.996438353976506</v>
      </c>
      <c r="BI90">
        <f t="shared" si="75"/>
        <v>2.0482988877737038</v>
      </c>
      <c r="BJ90">
        <f t="shared" si="76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69"/>
        <v>79</v>
      </c>
      <c r="BD91">
        <f t="shared" si="70"/>
        <v>0.14234234234234233</v>
      </c>
      <c r="BE91">
        <f t="shared" si="77"/>
        <v>1.3783783783783783</v>
      </c>
      <c r="BF91">
        <f t="shared" si="72"/>
        <v>51</v>
      </c>
      <c r="BG91">
        <f t="shared" si="73"/>
        <v>0.8599874999999999</v>
      </c>
      <c r="BH91">
        <f t="shared" si="74"/>
        <v>2.0363671210560361</v>
      </c>
      <c r="BI91">
        <f t="shared" si="75"/>
        <v>2.0892648655291781</v>
      </c>
      <c r="BJ91">
        <f t="shared" si="76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69"/>
        <v>60</v>
      </c>
      <c r="BD92">
        <f t="shared" si="70"/>
        <v>0.10810810810810811</v>
      </c>
      <c r="BE92">
        <f t="shared" si="77"/>
        <v>1.4054054054054055</v>
      </c>
      <c r="BF92">
        <f t="shared" si="72"/>
        <v>52</v>
      </c>
      <c r="BG92">
        <f t="shared" si="73"/>
        <v>0.87684999999999991</v>
      </c>
      <c r="BH92">
        <f t="shared" si="74"/>
        <v>2.0762958881355664</v>
      </c>
      <c r="BI92">
        <f t="shared" si="75"/>
        <v>2.1302308432846524</v>
      </c>
      <c r="BJ92">
        <f t="shared" si="76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69"/>
        <v>70</v>
      </c>
      <c r="BD93">
        <f t="shared" si="70"/>
        <v>0.12612612612612611</v>
      </c>
      <c r="BE93">
        <f t="shared" si="77"/>
        <v>1.4324324324324325</v>
      </c>
      <c r="BF93">
        <f t="shared" si="72"/>
        <v>53</v>
      </c>
      <c r="BG93">
        <f t="shared" si="73"/>
        <v>0.89371250000000002</v>
      </c>
      <c r="BH93">
        <f t="shared" si="74"/>
        <v>2.1162246552150963</v>
      </c>
      <c r="BI93">
        <f t="shared" si="75"/>
        <v>2.1711968210401262</v>
      </c>
      <c r="BJ93">
        <f t="shared" si="76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69"/>
        <v>48</v>
      </c>
      <c r="BD94">
        <f t="shared" si="70"/>
        <v>8.6486486486486491E-2</v>
      </c>
      <c r="BE94">
        <f t="shared" si="77"/>
        <v>1.4594594594594594</v>
      </c>
      <c r="BF94">
        <f t="shared" si="72"/>
        <v>54</v>
      </c>
      <c r="BG94">
        <f t="shared" si="73"/>
        <v>0.91057500000000002</v>
      </c>
      <c r="BH94">
        <f t="shared" si="74"/>
        <v>2.1561534222946266</v>
      </c>
      <c r="BI94">
        <f t="shared" si="75"/>
        <v>2.2121627987956005</v>
      </c>
      <c r="BJ94">
        <f t="shared" si="76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69"/>
        <v>43</v>
      </c>
      <c r="BD95">
        <f t="shared" si="70"/>
        <v>7.7477477477477477E-2</v>
      </c>
      <c r="BE95">
        <f t="shared" si="77"/>
        <v>1.4864864864864864</v>
      </c>
      <c r="BF95">
        <f t="shared" si="72"/>
        <v>55</v>
      </c>
      <c r="BG95">
        <f t="shared" si="73"/>
        <v>0.92743749999999991</v>
      </c>
      <c r="BH95">
        <f t="shared" si="74"/>
        <v>2.1960821893741564</v>
      </c>
      <c r="BI95">
        <f t="shared" si="75"/>
        <v>2.2531287765510744</v>
      </c>
      <c r="BJ95">
        <f t="shared" si="76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69"/>
        <v>41</v>
      </c>
      <c r="BD96">
        <f t="shared" si="70"/>
        <v>7.3873873873873869E-2</v>
      </c>
      <c r="BE96">
        <f t="shared" si="77"/>
        <v>1.5135135135135136</v>
      </c>
      <c r="BF96">
        <f t="shared" si="72"/>
        <v>56</v>
      </c>
      <c r="BG96">
        <f t="shared" si="73"/>
        <v>0.94429999999999992</v>
      </c>
      <c r="BH96">
        <f t="shared" si="74"/>
        <v>2.2360109564536867</v>
      </c>
      <c r="BI96">
        <f t="shared" si="75"/>
        <v>2.2940947543065486</v>
      </c>
      <c r="BJ96">
        <f t="shared" si="76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69"/>
        <v>61</v>
      </c>
      <c r="BD97">
        <f t="shared" si="70"/>
        <v>0.10990990990990991</v>
      </c>
      <c r="BE97">
        <f t="shared" si="77"/>
        <v>1.5405405405405406</v>
      </c>
      <c r="BF97">
        <f t="shared" si="72"/>
        <v>57</v>
      </c>
      <c r="BG97">
        <f t="shared" si="73"/>
        <v>0.96116250000000003</v>
      </c>
      <c r="BH97">
        <f t="shared" si="74"/>
        <v>2.2759397235332166</v>
      </c>
      <c r="BI97">
        <f t="shared" si="75"/>
        <v>2.3350607320620225</v>
      </c>
      <c r="BJ97">
        <f t="shared" si="76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69"/>
        <v>56</v>
      </c>
      <c r="BD98">
        <f t="shared" si="70"/>
        <v>0.1009009009009009</v>
      </c>
      <c r="BE98">
        <f t="shared" si="77"/>
        <v>1.5675675675675675</v>
      </c>
      <c r="BF98">
        <f t="shared" si="72"/>
        <v>58</v>
      </c>
      <c r="BG98">
        <f t="shared" si="73"/>
        <v>0.97802500000000003</v>
      </c>
      <c r="BH98">
        <f t="shared" si="74"/>
        <v>2.3158684906127469</v>
      </c>
      <c r="BI98">
        <f t="shared" si="75"/>
        <v>2.3760267098174968</v>
      </c>
      <c r="BJ98">
        <f t="shared" si="76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69"/>
        <v>44</v>
      </c>
      <c r="BD99">
        <f t="shared" si="70"/>
        <v>7.9279279279279274E-2</v>
      </c>
      <c r="BE99">
        <f t="shared" si="77"/>
        <v>1.5945945945945945</v>
      </c>
      <c r="BF99">
        <f t="shared" si="72"/>
        <v>59</v>
      </c>
      <c r="BG99">
        <f t="shared" si="73"/>
        <v>0.99488749999999992</v>
      </c>
      <c r="BH99">
        <f t="shared" si="74"/>
        <v>2.3557972576922772</v>
      </c>
      <c r="BI99">
        <f t="shared" si="75"/>
        <v>2.4169926875729706</v>
      </c>
      <c r="BJ99">
        <f t="shared" si="76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69"/>
        <v>43</v>
      </c>
      <c r="BD100">
        <f t="shared" si="70"/>
        <v>7.7477477477477477E-2</v>
      </c>
      <c r="BE100">
        <f t="shared" si="77"/>
        <v>1.6216216216216217</v>
      </c>
      <c r="BF100">
        <f t="shared" si="72"/>
        <v>60</v>
      </c>
      <c r="BG100">
        <f t="shared" si="73"/>
        <v>1.0117499999999999</v>
      </c>
      <c r="BH100">
        <f t="shared" si="74"/>
        <v>2.3957260247718071</v>
      </c>
      <c r="BI100">
        <f t="shared" si="75"/>
        <v>2.4579586653284449</v>
      </c>
      <c r="BJ100">
        <f t="shared" si="76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69"/>
        <v>40</v>
      </c>
      <c r="BD101">
        <f t="shared" si="70"/>
        <v>7.2072072072072071E-2</v>
      </c>
      <c r="BE101">
        <f t="shared" si="77"/>
        <v>1.6486486486486487</v>
      </c>
      <c r="BF101">
        <f t="shared" si="72"/>
        <v>61</v>
      </c>
      <c r="BG101">
        <f t="shared" si="73"/>
        <v>1.0286124999999999</v>
      </c>
      <c r="BH101">
        <f t="shared" si="74"/>
        <v>2.4356547918513374</v>
      </c>
      <c r="BI101">
        <f t="shared" si="75"/>
        <v>2.4989246430839187</v>
      </c>
      <c r="BJ101">
        <f t="shared" si="76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69"/>
        <v>31</v>
      </c>
      <c r="BD102">
        <f t="shared" si="70"/>
        <v>5.5855855855855854E-2</v>
      </c>
      <c r="BE102">
        <f t="shared" si="77"/>
        <v>1.6756756756756757</v>
      </c>
      <c r="BF102">
        <f t="shared" si="72"/>
        <v>62</v>
      </c>
      <c r="BG102">
        <f t="shared" si="73"/>
        <v>1.0454750000000002</v>
      </c>
      <c r="BH102">
        <f t="shared" si="74"/>
        <v>2.4755835589308672</v>
      </c>
      <c r="BI102">
        <f t="shared" si="75"/>
        <v>2.539890620839393</v>
      </c>
      <c r="BJ102">
        <f t="shared" si="76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69"/>
        <v>28</v>
      </c>
      <c r="BD103">
        <f t="shared" si="70"/>
        <v>5.0450450450450449E-2</v>
      </c>
      <c r="BE103">
        <f t="shared" si="77"/>
        <v>1.7027027027027026</v>
      </c>
      <c r="BF103">
        <f t="shared" si="72"/>
        <v>63</v>
      </c>
      <c r="BG103">
        <f t="shared" si="73"/>
        <v>1.0623374999999999</v>
      </c>
      <c r="BH103">
        <f t="shared" si="74"/>
        <v>2.5155123260103975</v>
      </c>
      <c r="BI103">
        <f t="shared" si="75"/>
        <v>2.5808565985948673</v>
      </c>
      <c r="BJ103">
        <f t="shared" si="76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69"/>
        <v>28</v>
      </c>
      <c r="BD104">
        <f t="shared" si="70"/>
        <v>5.0450450450450449E-2</v>
      </c>
      <c r="BE104">
        <f t="shared" si="77"/>
        <v>1.7297297297297298</v>
      </c>
      <c r="BF104">
        <f t="shared" si="72"/>
        <v>64</v>
      </c>
      <c r="BG104">
        <f t="shared" si="73"/>
        <v>1.0791999999999999</v>
      </c>
      <c r="BH104">
        <f t="shared" si="74"/>
        <v>2.5554410930899278</v>
      </c>
      <c r="BI104">
        <f t="shared" si="75"/>
        <v>2.6218225763503411</v>
      </c>
      <c r="BJ104">
        <f t="shared" si="76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69"/>
        <v>37</v>
      </c>
      <c r="BD105">
        <f t="shared" si="70"/>
        <v>6.6666666666666666E-2</v>
      </c>
      <c r="BE105">
        <f t="shared" si="77"/>
        <v>1.7567567567567568</v>
      </c>
      <c r="BF105">
        <f t="shared" si="72"/>
        <v>65</v>
      </c>
      <c r="BG105">
        <f t="shared" si="73"/>
        <v>1.0960624999999999</v>
      </c>
      <c r="BH105">
        <f t="shared" si="74"/>
        <v>2.5953698601694577</v>
      </c>
      <c r="BI105">
        <f t="shared" si="75"/>
        <v>2.6627885541058154</v>
      </c>
      <c r="BJ105">
        <f t="shared" si="76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69"/>
        <v>26</v>
      </c>
      <c r="BD106">
        <f t="shared" si="70"/>
        <v>4.6846846846846847E-2</v>
      </c>
      <c r="BE106">
        <f t="shared" si="77"/>
        <v>1.7837837837837838</v>
      </c>
      <c r="BF106">
        <f t="shared" si="72"/>
        <v>66</v>
      </c>
      <c r="BG106">
        <f t="shared" si="73"/>
        <v>1.1129249999999999</v>
      </c>
      <c r="BH106">
        <f t="shared" si="74"/>
        <v>2.635298627248988</v>
      </c>
      <c r="BI106">
        <f t="shared" si="75"/>
        <v>2.7037545318612892</v>
      </c>
      <c r="BJ106">
        <f t="shared" si="76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69"/>
        <v>39</v>
      </c>
      <c r="BD107">
        <f t="shared" si="70"/>
        <v>7.0270270270270274E-2</v>
      </c>
      <c r="BE107">
        <f t="shared" si="77"/>
        <v>1.8108108108108107</v>
      </c>
      <c r="BF107">
        <f t="shared" si="72"/>
        <v>67</v>
      </c>
      <c r="BG107">
        <f t="shared" si="73"/>
        <v>1.1297874999999999</v>
      </c>
      <c r="BH107">
        <f t="shared" si="74"/>
        <v>2.6752273943285179</v>
      </c>
      <c r="BI107">
        <f t="shared" si="75"/>
        <v>2.7447205096167635</v>
      </c>
      <c r="BJ107">
        <f t="shared" si="76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69"/>
        <v>30</v>
      </c>
      <c r="BD108">
        <f t="shared" si="70"/>
        <v>5.4054054054054057E-2</v>
      </c>
      <c r="BE108">
        <f t="shared" si="77"/>
        <v>1.8378378378378379</v>
      </c>
      <c r="BF108">
        <f t="shared" si="72"/>
        <v>68</v>
      </c>
      <c r="BG108">
        <f t="shared" si="73"/>
        <v>1.1466499999999999</v>
      </c>
      <c r="BH108">
        <f t="shared" si="74"/>
        <v>2.7151561614080482</v>
      </c>
      <c r="BI108">
        <f t="shared" si="75"/>
        <v>2.7856864873722373</v>
      </c>
      <c r="BJ108">
        <f t="shared" si="76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69"/>
        <v>24</v>
      </c>
      <c r="BD109">
        <f t="shared" si="70"/>
        <v>4.3243243243243246E-2</v>
      </c>
      <c r="BE109">
        <f t="shared" si="77"/>
        <v>1.8648648648648649</v>
      </c>
      <c r="BF109">
        <f t="shared" si="72"/>
        <v>69</v>
      </c>
      <c r="BG109">
        <f t="shared" si="73"/>
        <v>1.1635124999999999</v>
      </c>
      <c r="BH109">
        <f t="shared" si="74"/>
        <v>2.7550849284875785</v>
      </c>
      <c r="BI109">
        <f t="shared" si="75"/>
        <v>2.8266524651277116</v>
      </c>
      <c r="BJ109">
        <f t="shared" si="76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69"/>
        <v>27</v>
      </c>
      <c r="BD110">
        <f t="shared" si="70"/>
        <v>4.8648648648648651E-2</v>
      </c>
      <c r="BE110">
        <f t="shared" si="77"/>
        <v>1.8918918918918919</v>
      </c>
      <c r="BF110">
        <f t="shared" si="72"/>
        <v>70</v>
      </c>
      <c r="BG110">
        <f t="shared" si="73"/>
        <v>1.180375</v>
      </c>
      <c r="BH110">
        <f t="shared" si="74"/>
        <v>2.7950136955671083</v>
      </c>
      <c r="BI110">
        <f t="shared" si="75"/>
        <v>2.8676184428831855</v>
      </c>
      <c r="BJ110">
        <f t="shared" si="76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69"/>
        <v>28</v>
      </c>
      <c r="BD111">
        <f t="shared" si="70"/>
        <v>5.0450450450450449E-2</v>
      </c>
      <c r="BE111">
        <f t="shared" si="77"/>
        <v>1.9189189189189189</v>
      </c>
      <c r="BF111">
        <f t="shared" si="72"/>
        <v>71</v>
      </c>
      <c r="BG111">
        <f t="shared" si="73"/>
        <v>1.1972375</v>
      </c>
      <c r="BH111">
        <f t="shared" si="74"/>
        <v>2.8349424626466386</v>
      </c>
      <c r="BI111">
        <f t="shared" si="75"/>
        <v>2.9085844206386597</v>
      </c>
      <c r="BJ111">
        <f t="shared" si="76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69"/>
        <v>25</v>
      </c>
      <c r="BD112">
        <f t="shared" si="70"/>
        <v>4.5045045045045043E-2</v>
      </c>
      <c r="BE112">
        <f t="shared" si="77"/>
        <v>1.9459459459459461</v>
      </c>
      <c r="BF112">
        <f t="shared" si="72"/>
        <v>72</v>
      </c>
      <c r="BG112">
        <f t="shared" si="73"/>
        <v>1.2141</v>
      </c>
      <c r="BH112">
        <f t="shared" si="74"/>
        <v>2.8748712297261685</v>
      </c>
      <c r="BI112">
        <f t="shared" si="75"/>
        <v>2.9495503983941336</v>
      </c>
      <c r="BJ112">
        <f t="shared" si="76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69"/>
        <v>19</v>
      </c>
      <c r="BD113">
        <f t="shared" si="70"/>
        <v>3.4234234234234232E-2</v>
      </c>
      <c r="BE113">
        <f t="shared" si="77"/>
        <v>1.972972972972973</v>
      </c>
      <c r="BF113">
        <f t="shared" si="72"/>
        <v>73</v>
      </c>
      <c r="BG113">
        <f t="shared" si="73"/>
        <v>1.2309625</v>
      </c>
      <c r="BH113">
        <f t="shared" si="74"/>
        <v>2.9147999968056988</v>
      </c>
      <c r="BI113">
        <f t="shared" si="75"/>
        <v>2.9905163761496079</v>
      </c>
      <c r="BJ113">
        <f t="shared" si="76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69"/>
        <v>17</v>
      </c>
      <c r="BD114">
        <f t="shared" si="70"/>
        <v>3.063063063063063E-2</v>
      </c>
      <c r="BE114">
        <f t="shared" si="77"/>
        <v>2</v>
      </c>
      <c r="BF114">
        <f t="shared" si="72"/>
        <v>74</v>
      </c>
      <c r="BG114">
        <f t="shared" si="73"/>
        <v>1.247825</v>
      </c>
      <c r="BH114">
        <f t="shared" si="74"/>
        <v>2.9547287638852286</v>
      </c>
      <c r="BI114">
        <f t="shared" si="75"/>
        <v>3.0314823539050821</v>
      </c>
      <c r="BJ114">
        <f t="shared" si="76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69"/>
        <v>29</v>
      </c>
      <c r="BD115">
        <f t="shared" si="70"/>
        <v>5.2252252252252253E-2</v>
      </c>
      <c r="BE115">
        <f t="shared" si="77"/>
        <v>2.0270270270270272</v>
      </c>
      <c r="BF115">
        <f t="shared" si="72"/>
        <v>75</v>
      </c>
      <c r="BG115">
        <f t="shared" si="73"/>
        <v>1.2646875</v>
      </c>
      <c r="BH115">
        <f t="shared" si="74"/>
        <v>2.994657530964759</v>
      </c>
      <c r="BI115">
        <f t="shared" si="75"/>
        <v>3.072448331660556</v>
      </c>
      <c r="BJ115">
        <f t="shared" si="76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69"/>
        <v>19</v>
      </c>
      <c r="BD116">
        <f t="shared" si="70"/>
        <v>3.4234234234234232E-2</v>
      </c>
      <c r="BE116">
        <f t="shared" si="77"/>
        <v>2.0540540540540539</v>
      </c>
      <c r="BF116">
        <f t="shared" si="72"/>
        <v>76</v>
      </c>
      <c r="BG116">
        <f t="shared" si="73"/>
        <v>1.28155</v>
      </c>
      <c r="BH116">
        <f t="shared" si="74"/>
        <v>3.0345862980442893</v>
      </c>
      <c r="BI116">
        <f t="shared" si="75"/>
        <v>3.1134143094160303</v>
      </c>
      <c r="BJ116">
        <f t="shared" si="76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69"/>
        <v>13</v>
      </c>
      <c r="BD117">
        <f t="shared" si="70"/>
        <v>2.3423423423423424E-2</v>
      </c>
      <c r="BE117">
        <f t="shared" si="77"/>
        <v>2.0810810810810811</v>
      </c>
      <c r="BF117">
        <f t="shared" si="72"/>
        <v>77</v>
      </c>
      <c r="BG117">
        <f t="shared" si="73"/>
        <v>1.2984125</v>
      </c>
      <c r="BH117">
        <f t="shared" si="74"/>
        <v>3.0745150651238191</v>
      </c>
      <c r="BI117">
        <f t="shared" si="75"/>
        <v>3.1543802871715041</v>
      </c>
      <c r="BJ117">
        <f t="shared" si="76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69"/>
        <v>14</v>
      </c>
      <c r="BD118">
        <f t="shared" si="70"/>
        <v>2.5225225225225224E-2</v>
      </c>
      <c r="BE118">
        <f t="shared" si="77"/>
        <v>2.1081081081081079</v>
      </c>
      <c r="BF118">
        <f t="shared" si="72"/>
        <v>78</v>
      </c>
      <c r="BG118">
        <f t="shared" si="73"/>
        <v>1.315275</v>
      </c>
      <c r="BH118">
        <f t="shared" si="74"/>
        <v>3.1144438322033494</v>
      </c>
      <c r="BI118">
        <f t="shared" si="75"/>
        <v>3.1953462649269784</v>
      </c>
      <c r="BJ118">
        <f t="shared" si="76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69"/>
        <v>21</v>
      </c>
      <c r="BD119">
        <f t="shared" si="70"/>
        <v>3.783783783783784E-2</v>
      </c>
      <c r="BE119">
        <f t="shared" si="77"/>
        <v>2.1351351351351351</v>
      </c>
      <c r="BF119">
        <f t="shared" si="72"/>
        <v>79</v>
      </c>
      <c r="BG119">
        <f t="shared" si="73"/>
        <v>1.3321375</v>
      </c>
      <c r="BH119">
        <f t="shared" si="74"/>
        <v>3.1543725992828793</v>
      </c>
      <c r="BI119">
        <f t="shared" si="75"/>
        <v>3.2363122426824522</v>
      </c>
      <c r="BJ119">
        <f t="shared" si="76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69"/>
        <v>20</v>
      </c>
      <c r="BD120">
        <f t="shared" si="70"/>
        <v>3.6036036036036036E-2</v>
      </c>
      <c r="BE120">
        <f t="shared" si="77"/>
        <v>2.1621621621621623</v>
      </c>
      <c r="BF120">
        <f t="shared" si="72"/>
        <v>80</v>
      </c>
      <c r="BG120">
        <f t="shared" si="73"/>
        <v>1.349</v>
      </c>
      <c r="BH120">
        <f t="shared" si="74"/>
        <v>3.1943013663624096</v>
      </c>
      <c r="BI120">
        <f t="shared" si="75"/>
        <v>3.2772782204379265</v>
      </c>
      <c r="BJ120">
        <f t="shared" si="76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69"/>
        <v>17</v>
      </c>
      <c r="BD121">
        <f t="shared" si="70"/>
        <v>3.063063063063063E-2</v>
      </c>
      <c r="BE121">
        <f t="shared" si="77"/>
        <v>2.189189189189189</v>
      </c>
      <c r="BF121">
        <f t="shared" si="72"/>
        <v>81</v>
      </c>
      <c r="BG121">
        <f t="shared" si="73"/>
        <v>1.3658625</v>
      </c>
      <c r="BH121">
        <f t="shared" si="74"/>
        <v>3.2342301334419399</v>
      </c>
      <c r="BI121">
        <f t="shared" si="75"/>
        <v>3.3182441981934003</v>
      </c>
      <c r="BJ121">
        <f t="shared" si="76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69"/>
        <v>17</v>
      </c>
      <c r="BD122">
        <f t="shared" si="70"/>
        <v>3.063063063063063E-2</v>
      </c>
      <c r="BE122">
        <f t="shared" si="77"/>
        <v>2.2162162162162162</v>
      </c>
      <c r="BF122">
        <f t="shared" si="72"/>
        <v>82</v>
      </c>
      <c r="BG122">
        <f t="shared" si="73"/>
        <v>1.382725</v>
      </c>
      <c r="BH122">
        <f t="shared" si="74"/>
        <v>3.2741589005214697</v>
      </c>
      <c r="BI122">
        <f t="shared" si="75"/>
        <v>3.3592101759488746</v>
      </c>
      <c r="BJ122">
        <f t="shared" si="76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69"/>
        <v>14</v>
      </c>
      <c r="BD123">
        <f t="shared" si="70"/>
        <v>2.5225225225225224E-2</v>
      </c>
      <c r="BE123">
        <f t="shared" si="77"/>
        <v>2.2432432432432434</v>
      </c>
      <c r="BF123">
        <f t="shared" si="72"/>
        <v>83</v>
      </c>
      <c r="BG123">
        <f t="shared" si="73"/>
        <v>1.3995875</v>
      </c>
      <c r="BH123">
        <f t="shared" si="74"/>
        <v>3.314087667601</v>
      </c>
      <c r="BI123">
        <f t="shared" si="75"/>
        <v>3.4001761537043489</v>
      </c>
      <c r="BJ123">
        <f t="shared" si="76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69"/>
        <v>6</v>
      </c>
      <c r="BD124">
        <f t="shared" si="70"/>
        <v>1.0810810810810811E-2</v>
      </c>
      <c r="BE124">
        <f t="shared" si="77"/>
        <v>2.2702702702702702</v>
      </c>
      <c r="BF124">
        <f t="shared" si="72"/>
        <v>84</v>
      </c>
      <c r="BG124">
        <f t="shared" si="73"/>
        <v>1.41645</v>
      </c>
      <c r="BH124">
        <f t="shared" si="74"/>
        <v>3.3540164346805299</v>
      </c>
      <c r="BI124">
        <f t="shared" si="75"/>
        <v>3.4411421314598227</v>
      </c>
      <c r="BJ124">
        <f t="shared" si="76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69"/>
        <v>10</v>
      </c>
      <c r="BD125">
        <f t="shared" si="70"/>
        <v>1.8018018018018018E-2</v>
      </c>
      <c r="BE125">
        <f t="shared" si="77"/>
        <v>2.2972972972972974</v>
      </c>
      <c r="BF125">
        <f t="shared" si="72"/>
        <v>85</v>
      </c>
      <c r="BG125">
        <f t="shared" si="73"/>
        <v>1.4333125</v>
      </c>
      <c r="BH125">
        <f t="shared" si="74"/>
        <v>3.3939452017600602</v>
      </c>
      <c r="BI125">
        <f t="shared" si="75"/>
        <v>3.482108109215297</v>
      </c>
      <c r="BJ125">
        <f t="shared" si="76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69"/>
        <v>8</v>
      </c>
      <c r="BD126">
        <f t="shared" si="70"/>
        <v>1.4414414414414415E-2</v>
      </c>
      <c r="BE126">
        <f t="shared" si="77"/>
        <v>2.3243243243243241</v>
      </c>
      <c r="BF126">
        <f t="shared" si="72"/>
        <v>86</v>
      </c>
      <c r="BG126">
        <f t="shared" si="73"/>
        <v>1.450175</v>
      </c>
      <c r="BH126">
        <f t="shared" si="74"/>
        <v>3.4338739688395905</v>
      </c>
      <c r="BI126">
        <f t="shared" si="75"/>
        <v>3.5230740869707708</v>
      </c>
      <c r="BJ126">
        <f t="shared" si="76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69"/>
        <v>8</v>
      </c>
      <c r="BD127">
        <f t="shared" si="70"/>
        <v>1.4414414414414415E-2</v>
      </c>
      <c r="BE127">
        <f t="shared" si="77"/>
        <v>2.3513513513513513</v>
      </c>
      <c r="BF127">
        <f t="shared" si="72"/>
        <v>87</v>
      </c>
      <c r="BG127">
        <f t="shared" si="73"/>
        <v>1.4670375</v>
      </c>
      <c r="BH127">
        <f t="shared" si="74"/>
        <v>3.4738027359191204</v>
      </c>
      <c r="BI127">
        <f t="shared" si="75"/>
        <v>3.5640400647262451</v>
      </c>
      <c r="BJ127">
        <f t="shared" si="76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69"/>
        <v>10</v>
      </c>
      <c r="BD128">
        <f t="shared" si="70"/>
        <v>1.8018018018018018E-2</v>
      </c>
      <c r="BE128">
        <f t="shared" si="77"/>
        <v>2.3783783783783785</v>
      </c>
      <c r="BF128">
        <f t="shared" si="72"/>
        <v>88</v>
      </c>
      <c r="BG128">
        <f t="shared" si="73"/>
        <v>1.4839</v>
      </c>
      <c r="BH128">
        <f t="shared" si="74"/>
        <v>3.5137315029986507</v>
      </c>
      <c r="BI128">
        <f t="shared" si="75"/>
        <v>3.605006042481719</v>
      </c>
      <c r="BJ128">
        <f t="shared" si="76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69"/>
        <v>8</v>
      </c>
      <c r="BD129">
        <f t="shared" si="70"/>
        <v>1.4414414414414415E-2</v>
      </c>
      <c r="BE129">
        <f t="shared" si="77"/>
        <v>2.4054054054054053</v>
      </c>
      <c r="BF129">
        <f t="shared" si="72"/>
        <v>89</v>
      </c>
      <c r="BG129">
        <f t="shared" si="73"/>
        <v>1.5007625</v>
      </c>
      <c r="BH129">
        <f t="shared" si="74"/>
        <v>3.5536602700781805</v>
      </c>
      <c r="BI129">
        <f t="shared" si="75"/>
        <v>3.6459720202371932</v>
      </c>
      <c r="BJ129">
        <f t="shared" si="76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69"/>
        <v>10</v>
      </c>
      <c r="BD130">
        <f t="shared" si="70"/>
        <v>1.8018018018018018E-2</v>
      </c>
      <c r="BE130">
        <f t="shared" si="77"/>
        <v>2.4324324324324325</v>
      </c>
      <c r="BF130">
        <f t="shared" si="72"/>
        <v>90</v>
      </c>
      <c r="BG130">
        <f t="shared" si="73"/>
        <v>1.517625</v>
      </c>
      <c r="BH130">
        <f t="shared" si="74"/>
        <v>3.5935890371577108</v>
      </c>
      <c r="BI130">
        <f t="shared" si="75"/>
        <v>3.6869379979926671</v>
      </c>
      <c r="BJ130">
        <f t="shared" si="76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8">COUNTIFS(E:E,"=" &amp; BB131)</f>
        <v>8</v>
      </c>
      <c r="BD131">
        <f t="shared" ref="BD131:BD158" si="79">BC131/$BC$159</f>
        <v>1.4414414414414415E-2</v>
      </c>
      <c r="BE131">
        <f t="shared" ref="BE131:BE158" si="80">(BB131-$K$2)/$K$7</f>
        <v>2.4594594594594597</v>
      </c>
      <c r="BF131">
        <f t="shared" ref="BF131:BF158" si="81">ABS(BB131-$K$2)</f>
        <v>91</v>
      </c>
      <c r="BG131">
        <f t="shared" ref="BG131:BG158" si="82">0.6745*(BB131-$K$2)/$BF$159</f>
        <v>1.5344875</v>
      </c>
      <c r="BH131">
        <f t="shared" ref="BH131:BH158" si="83">(BB131-$K$2)/25.0446</f>
        <v>3.6335178042372407</v>
      </c>
      <c r="BI131">
        <f t="shared" ref="BI131:BI158" si="84">(BB131-$K$2)/24.4105</f>
        <v>3.7279039757481414</v>
      </c>
      <c r="BJ131">
        <f t="shared" ref="BJ131:BJ158" si="85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8"/>
        <v>2</v>
      </c>
      <c r="BD132">
        <f t="shared" si="79"/>
        <v>3.6036036036036037E-3</v>
      </c>
      <c r="BE132">
        <f t="shared" si="80"/>
        <v>2.4864864864864864</v>
      </c>
      <c r="BF132">
        <f t="shared" si="81"/>
        <v>92</v>
      </c>
      <c r="BG132">
        <f t="shared" si="82"/>
        <v>1.55135</v>
      </c>
      <c r="BH132">
        <f t="shared" si="83"/>
        <v>3.673446571316771</v>
      </c>
      <c r="BI132">
        <f t="shared" si="84"/>
        <v>3.7688699535036152</v>
      </c>
      <c r="BJ132">
        <f t="shared" si="85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8"/>
        <v>4</v>
      </c>
      <c r="BD133">
        <f t="shared" si="79"/>
        <v>7.2072072072072073E-3</v>
      </c>
      <c r="BE133">
        <f t="shared" si="80"/>
        <v>2.5135135135135136</v>
      </c>
      <c r="BF133">
        <f t="shared" si="81"/>
        <v>93</v>
      </c>
      <c r="BG133">
        <f t="shared" si="82"/>
        <v>1.5682125</v>
      </c>
      <c r="BH133">
        <f t="shared" si="83"/>
        <v>3.7133753383963013</v>
      </c>
      <c r="BI133">
        <f t="shared" si="84"/>
        <v>3.8098359312590895</v>
      </c>
      <c r="BJ133">
        <f t="shared" si="85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8"/>
        <v>6</v>
      </c>
      <c r="BD134">
        <f t="shared" si="79"/>
        <v>1.0810810810810811E-2</v>
      </c>
      <c r="BE134">
        <f t="shared" si="80"/>
        <v>2.5405405405405403</v>
      </c>
      <c r="BF134">
        <f t="shared" si="81"/>
        <v>94</v>
      </c>
      <c r="BG134">
        <f t="shared" si="82"/>
        <v>1.585075</v>
      </c>
      <c r="BH134">
        <f t="shared" si="83"/>
        <v>3.7533041054758312</v>
      </c>
      <c r="BI134">
        <f t="shared" si="84"/>
        <v>3.8508019090145638</v>
      </c>
      <c r="BJ134">
        <f t="shared" si="85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8"/>
        <v>6</v>
      </c>
      <c r="BD135">
        <f t="shared" si="79"/>
        <v>1.0810810810810811E-2</v>
      </c>
      <c r="BE135">
        <f t="shared" si="80"/>
        <v>2.5675675675675675</v>
      </c>
      <c r="BF135">
        <f t="shared" si="81"/>
        <v>95</v>
      </c>
      <c r="BG135">
        <f t="shared" si="82"/>
        <v>1.6019375</v>
      </c>
      <c r="BH135">
        <f t="shared" si="83"/>
        <v>3.7932328725553615</v>
      </c>
      <c r="BI135">
        <f t="shared" si="84"/>
        <v>3.8917678867700376</v>
      </c>
      <c r="BJ135">
        <f t="shared" si="85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8"/>
        <v>3</v>
      </c>
      <c r="BD136">
        <f t="shared" si="79"/>
        <v>5.4054054054054057E-3</v>
      </c>
      <c r="BE136">
        <f t="shared" si="80"/>
        <v>2.5945945945945947</v>
      </c>
      <c r="BF136">
        <f t="shared" si="81"/>
        <v>96</v>
      </c>
      <c r="BG136">
        <f t="shared" si="82"/>
        <v>1.6187999999999998</v>
      </c>
      <c r="BH136">
        <f t="shared" si="83"/>
        <v>3.8331616396348913</v>
      </c>
      <c r="BI136">
        <f t="shared" si="84"/>
        <v>3.9327338645255119</v>
      </c>
      <c r="BJ136">
        <f t="shared" si="85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8"/>
        <v>4</v>
      </c>
      <c r="BD137">
        <f t="shared" si="79"/>
        <v>7.2072072072072073E-3</v>
      </c>
      <c r="BE137">
        <f t="shared" si="80"/>
        <v>2.6216216216216215</v>
      </c>
      <c r="BF137">
        <f t="shared" si="81"/>
        <v>97</v>
      </c>
      <c r="BG137">
        <f t="shared" si="82"/>
        <v>1.6356625</v>
      </c>
      <c r="BH137">
        <f t="shared" si="83"/>
        <v>3.8730904067144216</v>
      </c>
      <c r="BI137">
        <f t="shared" si="84"/>
        <v>3.9736998422809857</v>
      </c>
      <c r="BJ137">
        <f t="shared" si="85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8"/>
        <v>1</v>
      </c>
      <c r="BD138">
        <f t="shared" si="79"/>
        <v>1.8018018018018018E-3</v>
      </c>
      <c r="BE138">
        <f t="shared" si="80"/>
        <v>2.6486486486486487</v>
      </c>
      <c r="BF138">
        <f t="shared" si="81"/>
        <v>98</v>
      </c>
      <c r="BG138">
        <f t="shared" si="82"/>
        <v>1.652525</v>
      </c>
      <c r="BH138">
        <f t="shared" si="83"/>
        <v>3.9130191737939519</v>
      </c>
      <c r="BI138">
        <f t="shared" si="84"/>
        <v>4.01466582003646</v>
      </c>
      <c r="BJ138">
        <f t="shared" si="85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8"/>
        <v>2</v>
      </c>
      <c r="BD139">
        <f t="shared" si="79"/>
        <v>3.6036036036036037E-3</v>
      </c>
      <c r="BE139">
        <f t="shared" si="80"/>
        <v>2.6756756756756759</v>
      </c>
      <c r="BF139">
        <f t="shared" si="81"/>
        <v>99</v>
      </c>
      <c r="BG139">
        <f t="shared" si="82"/>
        <v>1.6693874999999998</v>
      </c>
      <c r="BH139">
        <f t="shared" si="83"/>
        <v>3.9529479408734818</v>
      </c>
      <c r="BI139">
        <f t="shared" si="84"/>
        <v>4.0556317977919338</v>
      </c>
      <c r="BJ139">
        <f t="shared" si="85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8"/>
        <v>3</v>
      </c>
      <c r="BD140">
        <f t="shared" si="79"/>
        <v>5.4054054054054057E-3</v>
      </c>
      <c r="BE140">
        <f t="shared" si="80"/>
        <v>2.7027027027027026</v>
      </c>
      <c r="BF140">
        <f t="shared" si="81"/>
        <v>100</v>
      </c>
      <c r="BG140">
        <f t="shared" si="82"/>
        <v>1.68625</v>
      </c>
      <c r="BH140">
        <f t="shared" si="83"/>
        <v>3.9928767079530121</v>
      </c>
      <c r="BI140">
        <f t="shared" si="84"/>
        <v>4.0965977755474077</v>
      </c>
      <c r="BJ140">
        <f t="shared" si="85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8"/>
        <v>5</v>
      </c>
      <c r="BD141">
        <f t="shared" si="79"/>
        <v>9.0090090090090089E-3</v>
      </c>
      <c r="BE141">
        <f t="shared" si="80"/>
        <v>2.7297297297297298</v>
      </c>
      <c r="BF141">
        <f t="shared" si="81"/>
        <v>101</v>
      </c>
      <c r="BG141">
        <f t="shared" si="82"/>
        <v>1.7031125</v>
      </c>
      <c r="BH141">
        <f t="shared" si="83"/>
        <v>4.0328054750325419</v>
      </c>
      <c r="BI141">
        <f t="shared" si="84"/>
        <v>4.1375637533028824</v>
      </c>
      <c r="BJ141">
        <f t="shared" si="85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8"/>
        <v>4</v>
      </c>
      <c r="BD142">
        <f t="shared" si="79"/>
        <v>7.2072072072072073E-3</v>
      </c>
      <c r="BE142">
        <f t="shared" si="80"/>
        <v>2.7567567567567566</v>
      </c>
      <c r="BF142">
        <f t="shared" si="81"/>
        <v>102</v>
      </c>
      <c r="BG142">
        <f t="shared" si="82"/>
        <v>1.7199749999999998</v>
      </c>
      <c r="BH142">
        <f t="shared" si="83"/>
        <v>4.0727342421120722</v>
      </c>
      <c r="BI142">
        <f t="shared" si="84"/>
        <v>4.1785297310583562</v>
      </c>
      <c r="BJ142">
        <f t="shared" si="85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8"/>
        <v>2</v>
      </c>
      <c r="BD143">
        <f t="shared" si="79"/>
        <v>3.6036036036036037E-3</v>
      </c>
      <c r="BE143">
        <f t="shared" si="80"/>
        <v>2.7837837837837838</v>
      </c>
      <c r="BF143">
        <f t="shared" si="81"/>
        <v>103</v>
      </c>
      <c r="BG143">
        <f t="shared" si="82"/>
        <v>1.7368375</v>
      </c>
      <c r="BH143">
        <f t="shared" si="83"/>
        <v>4.1126630091916025</v>
      </c>
      <c r="BI143">
        <f t="shared" si="84"/>
        <v>4.2194957088138301</v>
      </c>
      <c r="BJ143">
        <f t="shared" si="85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8"/>
        <v>1</v>
      </c>
      <c r="BD144">
        <f t="shared" si="79"/>
        <v>1.8018018018018018E-3</v>
      </c>
      <c r="BE144">
        <f t="shared" si="80"/>
        <v>2.8378378378378377</v>
      </c>
      <c r="BF144">
        <f t="shared" si="81"/>
        <v>105</v>
      </c>
      <c r="BG144">
        <f t="shared" si="82"/>
        <v>1.7705625</v>
      </c>
      <c r="BH144">
        <f t="shared" si="83"/>
        <v>4.1925205433506623</v>
      </c>
      <c r="BI144">
        <f t="shared" si="84"/>
        <v>4.3014276643247786</v>
      </c>
      <c r="BJ144">
        <f t="shared" si="85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8"/>
        <v>2</v>
      </c>
      <c r="BD145">
        <f t="shared" si="79"/>
        <v>3.6036036036036037E-3</v>
      </c>
      <c r="BE145">
        <f t="shared" si="80"/>
        <v>2.8648648648648649</v>
      </c>
      <c r="BF145">
        <f t="shared" si="81"/>
        <v>106</v>
      </c>
      <c r="BG145">
        <f t="shared" si="82"/>
        <v>1.787425</v>
      </c>
      <c r="BH145">
        <f t="shared" si="83"/>
        <v>4.2324493104301926</v>
      </c>
      <c r="BI145">
        <f t="shared" si="84"/>
        <v>4.3423936420802525</v>
      </c>
      <c r="BJ145">
        <f t="shared" si="85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8"/>
        <v>3</v>
      </c>
      <c r="BD146">
        <f t="shared" si="79"/>
        <v>5.4054054054054057E-3</v>
      </c>
      <c r="BE146">
        <f t="shared" si="80"/>
        <v>2.8918918918918921</v>
      </c>
      <c r="BF146">
        <f t="shared" si="81"/>
        <v>107</v>
      </c>
      <c r="BG146">
        <f t="shared" si="82"/>
        <v>1.8042874999999998</v>
      </c>
      <c r="BH146">
        <f t="shared" si="83"/>
        <v>4.2723780775097229</v>
      </c>
      <c r="BI146">
        <f t="shared" si="84"/>
        <v>4.3833596198357263</v>
      </c>
      <c r="BJ146">
        <f t="shared" si="85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8"/>
        <v>3</v>
      </c>
      <c r="BD147">
        <f t="shared" si="79"/>
        <v>5.4054054054054057E-3</v>
      </c>
      <c r="BE147">
        <f t="shared" si="80"/>
        <v>2.9189189189189189</v>
      </c>
      <c r="BF147">
        <f t="shared" si="81"/>
        <v>108</v>
      </c>
      <c r="BG147">
        <f t="shared" si="82"/>
        <v>1.82115</v>
      </c>
      <c r="BH147">
        <f t="shared" si="83"/>
        <v>4.3123068445892532</v>
      </c>
      <c r="BI147">
        <f t="shared" si="84"/>
        <v>4.424325597591201</v>
      </c>
      <c r="BJ147">
        <f t="shared" si="85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8"/>
        <v>1</v>
      </c>
      <c r="BD148">
        <f t="shared" si="79"/>
        <v>1.8018018018018018E-3</v>
      </c>
      <c r="BE148">
        <f t="shared" si="80"/>
        <v>2.9459459459459461</v>
      </c>
      <c r="BF148">
        <f t="shared" si="81"/>
        <v>109</v>
      </c>
      <c r="BG148">
        <f t="shared" si="82"/>
        <v>1.8380125</v>
      </c>
      <c r="BH148">
        <f t="shared" si="83"/>
        <v>4.3522356116687835</v>
      </c>
      <c r="BI148">
        <f t="shared" si="84"/>
        <v>4.4652915753466749</v>
      </c>
      <c r="BJ148">
        <f t="shared" si="85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8"/>
        <v>1</v>
      </c>
      <c r="BD149">
        <f t="shared" si="79"/>
        <v>1.8018018018018018E-3</v>
      </c>
      <c r="BE149">
        <f t="shared" si="80"/>
        <v>2.9729729729729728</v>
      </c>
      <c r="BF149">
        <f t="shared" si="81"/>
        <v>110</v>
      </c>
      <c r="BG149">
        <f t="shared" si="82"/>
        <v>1.8548749999999998</v>
      </c>
      <c r="BH149">
        <f t="shared" si="83"/>
        <v>4.3921643787483129</v>
      </c>
      <c r="BI149">
        <f t="shared" si="84"/>
        <v>4.5062575531021487</v>
      </c>
      <c r="BJ149">
        <f t="shared" si="85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8"/>
        <v>4</v>
      </c>
      <c r="BD150">
        <f t="shared" si="79"/>
        <v>7.2072072072072073E-3</v>
      </c>
      <c r="BE150">
        <f t="shared" si="80"/>
        <v>3</v>
      </c>
      <c r="BF150">
        <f t="shared" si="81"/>
        <v>111</v>
      </c>
      <c r="BG150">
        <f t="shared" si="82"/>
        <v>1.8717375000000001</v>
      </c>
      <c r="BH150">
        <f t="shared" si="83"/>
        <v>4.4320931458278432</v>
      </c>
      <c r="BI150">
        <f t="shared" si="84"/>
        <v>4.5472235308576225</v>
      </c>
      <c r="BJ150">
        <f t="shared" si="85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8"/>
        <v>1</v>
      </c>
      <c r="BD151">
        <f t="shared" si="79"/>
        <v>1.8018018018018018E-3</v>
      </c>
      <c r="BE151">
        <f t="shared" si="80"/>
        <v>3.0270270270270272</v>
      </c>
      <c r="BF151">
        <f t="shared" si="81"/>
        <v>112</v>
      </c>
      <c r="BG151">
        <f t="shared" si="82"/>
        <v>1.8885999999999998</v>
      </c>
      <c r="BH151">
        <f t="shared" si="83"/>
        <v>4.4720219129073735</v>
      </c>
      <c r="BI151">
        <f t="shared" si="84"/>
        <v>4.5881895086130973</v>
      </c>
      <c r="BJ151">
        <f t="shared" si="85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8"/>
        <v>2</v>
      </c>
      <c r="BD152">
        <f t="shared" si="79"/>
        <v>3.6036036036036037E-3</v>
      </c>
      <c r="BE152">
        <f t="shared" si="80"/>
        <v>3.0540540540540539</v>
      </c>
      <c r="BF152">
        <f t="shared" si="81"/>
        <v>113</v>
      </c>
      <c r="BG152">
        <f t="shared" si="82"/>
        <v>1.9054624999999998</v>
      </c>
      <c r="BH152">
        <f t="shared" si="83"/>
        <v>4.5119506799869038</v>
      </c>
      <c r="BI152">
        <f t="shared" si="84"/>
        <v>4.6291554863685711</v>
      </c>
      <c r="BJ152">
        <f t="shared" si="85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8"/>
        <v>2</v>
      </c>
      <c r="BD153">
        <f t="shared" si="79"/>
        <v>3.6036036036036037E-3</v>
      </c>
      <c r="BE153">
        <f t="shared" si="80"/>
        <v>3.0810810810810811</v>
      </c>
      <c r="BF153">
        <f t="shared" si="81"/>
        <v>114</v>
      </c>
      <c r="BG153">
        <f t="shared" si="82"/>
        <v>1.9223250000000001</v>
      </c>
      <c r="BH153">
        <f t="shared" si="83"/>
        <v>4.5518794470664332</v>
      </c>
      <c r="BI153">
        <f t="shared" si="84"/>
        <v>4.6701214641240449</v>
      </c>
      <c r="BJ153">
        <f t="shared" si="85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8"/>
        <v>2</v>
      </c>
      <c r="BD154">
        <f t="shared" si="79"/>
        <v>3.6036036036036037E-3</v>
      </c>
      <c r="BE154">
        <f t="shared" si="80"/>
        <v>3.1351351351351351</v>
      </c>
      <c r="BF154">
        <f t="shared" si="81"/>
        <v>116</v>
      </c>
      <c r="BG154">
        <f t="shared" si="82"/>
        <v>1.9560500000000001</v>
      </c>
      <c r="BH154">
        <f t="shared" si="83"/>
        <v>4.6317369812254938</v>
      </c>
      <c r="BI154">
        <f t="shared" si="84"/>
        <v>4.7520534196349935</v>
      </c>
      <c r="BJ154">
        <f t="shared" si="85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8"/>
        <v>2</v>
      </c>
      <c r="BD155">
        <f t="shared" si="79"/>
        <v>3.6036036036036037E-3</v>
      </c>
      <c r="BE155">
        <f t="shared" si="80"/>
        <v>3.1621621621621623</v>
      </c>
      <c r="BF155">
        <f t="shared" si="81"/>
        <v>117</v>
      </c>
      <c r="BG155">
        <f t="shared" si="82"/>
        <v>1.9729125000000001</v>
      </c>
      <c r="BH155">
        <f t="shared" si="83"/>
        <v>4.6716657483050241</v>
      </c>
      <c r="BI155">
        <f t="shared" si="84"/>
        <v>4.7930193973904673</v>
      </c>
      <c r="BJ155">
        <f t="shared" si="85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8"/>
        <v>2</v>
      </c>
      <c r="BD156">
        <f t="shared" si="79"/>
        <v>3.6036036036036037E-3</v>
      </c>
      <c r="BE156">
        <f t="shared" si="80"/>
        <v>3.189189189189189</v>
      </c>
      <c r="BF156">
        <f t="shared" si="81"/>
        <v>118</v>
      </c>
      <c r="BG156">
        <f t="shared" si="82"/>
        <v>1.9897749999999998</v>
      </c>
      <c r="BH156">
        <f t="shared" si="83"/>
        <v>4.7115945153845544</v>
      </c>
      <c r="BI156">
        <f t="shared" si="84"/>
        <v>4.8339853751459412</v>
      </c>
      <c r="BJ156">
        <f t="shared" si="85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8"/>
        <v>1</v>
      </c>
      <c r="BD157">
        <f t="shared" si="79"/>
        <v>1.8018018018018018E-3</v>
      </c>
      <c r="BE157">
        <f t="shared" si="80"/>
        <v>3.4324324324324325</v>
      </c>
      <c r="BF157">
        <f t="shared" si="81"/>
        <v>127</v>
      </c>
      <c r="BG157">
        <f t="shared" si="82"/>
        <v>2.1415375000000001</v>
      </c>
      <c r="BH157">
        <f t="shared" si="83"/>
        <v>5.0709534191003254</v>
      </c>
      <c r="BI157">
        <f t="shared" si="84"/>
        <v>5.2026791749452084</v>
      </c>
      <c r="BJ157">
        <f t="shared" si="85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8"/>
        <v>1</v>
      </c>
      <c r="BD158">
        <f t="shared" si="79"/>
        <v>1.8018018018018018E-3</v>
      </c>
      <c r="BE158">
        <f t="shared" si="80"/>
        <v>3.5405405405405403</v>
      </c>
      <c r="BF158">
        <f t="shared" si="81"/>
        <v>131</v>
      </c>
      <c r="BG158">
        <f t="shared" si="82"/>
        <v>2.2089875000000001</v>
      </c>
      <c r="BH158">
        <f t="shared" si="83"/>
        <v>5.2306684874184457</v>
      </c>
      <c r="BI158">
        <f t="shared" si="84"/>
        <v>5.3665430859671046</v>
      </c>
      <c r="BJ158">
        <f t="shared" si="85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555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BB2:BB24008">
    <sortCondition ref="BB2:BB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workbookViewId="0">
      <selection activeCell="F2" sqref="F2"/>
    </sheetView>
  </sheetViews>
  <sheetFormatPr defaultRowHeight="16.5" x14ac:dyDescent="0.25"/>
  <sheetData>
    <row r="1" spans="1:39" x14ac:dyDescent="0.25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25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25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25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25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25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25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25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25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25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25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25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25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25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25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25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25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25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25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25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25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25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25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25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25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25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25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25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25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25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25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25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25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25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25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25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25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25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25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25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25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25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25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25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25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25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25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25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25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25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25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25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25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25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25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25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25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25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25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25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25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25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25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25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25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25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25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25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25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25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25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25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25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25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25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25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25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25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25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25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25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25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25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25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25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25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25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25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25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25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25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25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25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25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25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25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25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25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25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25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25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25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25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25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25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25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25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25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25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25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25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25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25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25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25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25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25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25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25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25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25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25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25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25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25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25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25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25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25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25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25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25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25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25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25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25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25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25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25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25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25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25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25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25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25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25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25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25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25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25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25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25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25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25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25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25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25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25">
      <c r="AD158">
        <f>MAX(AD2:AD157)</f>
        <v>1.010266392709217</v>
      </c>
      <c r="AL158">
        <f>1/AL157</f>
        <v>1.7863867176356483</v>
      </c>
    </row>
    <row r="159" spans="25:39" x14ac:dyDescent="0.25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5" x14ac:dyDescent="0.25"/>
  <sheetData>
    <row r="1" spans="1:4" x14ac:dyDescent="0.25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25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25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25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25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25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25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25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25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25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25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25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25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25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25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25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25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25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25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25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25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25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25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25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25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25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25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25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25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25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25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25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25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25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25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25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25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25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25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25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25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25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25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25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25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25">
      <c r="A46">
        <v>2.1739130434782608E-2</v>
      </c>
    </row>
    <row r="47" spans="1:4" x14ac:dyDescent="0.25">
      <c r="B47">
        <f>MEDIAN(B1:B45)</f>
        <v>1.8483405694013133E-2</v>
      </c>
      <c r="C47">
        <f>MEDIAN(C1:C45)</f>
        <v>7.4880213925499622E-3</v>
      </c>
    </row>
    <row r="48" spans="1:4" x14ac:dyDescent="0.25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workbookViewId="0">
      <selection activeCell="X11" sqref="X11"/>
    </sheetView>
  </sheetViews>
  <sheetFormatPr defaultRowHeight="16.5" x14ac:dyDescent="0.25"/>
  <cols>
    <col min="2" max="2" width="9.625" bestFit="1" customWidth="1"/>
    <col min="4" max="4" width="9.5" bestFit="1" customWidth="1"/>
  </cols>
  <sheetData>
    <row r="1" spans="1:23" x14ac:dyDescent="0.25">
      <c r="A1" t="s">
        <v>9</v>
      </c>
      <c r="G1" t="s">
        <v>8</v>
      </c>
    </row>
    <row r="2" spans="1:23" x14ac:dyDescent="0.25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25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25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25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25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25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25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25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25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25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25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25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25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25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25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25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25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25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25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25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25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25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25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25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25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25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25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25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25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25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25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25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25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25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25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25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25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25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25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25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25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25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25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25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25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25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25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25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25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25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25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25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25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25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25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25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25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25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25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25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25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25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25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25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25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25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25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25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25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25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25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25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25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25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25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25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25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25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25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25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25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25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25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25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25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25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25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25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25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25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25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25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25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25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25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25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25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25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25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25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25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25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25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25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25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25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25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25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25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25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25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25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25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25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25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25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25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25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25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25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25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25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25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25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25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25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25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25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25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25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25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25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25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25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25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25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25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25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25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25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25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25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25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25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25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25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25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25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25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25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25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25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25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25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25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25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25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5" x14ac:dyDescent="0.25"/>
  <sheetData>
    <row r="1" spans="1:11" x14ac:dyDescent="0.25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25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25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25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25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25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25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25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25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25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25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25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25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25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25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25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25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25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25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25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25">
      <c r="A21">
        <v>50</v>
      </c>
      <c r="B21">
        <f t="shared" si="0"/>
        <v>1.6521739130434767</v>
      </c>
    </row>
    <row r="22" spans="1:8" x14ac:dyDescent="0.25">
      <c r="A22">
        <v>51</v>
      </c>
      <c r="B22">
        <f t="shared" si="0"/>
        <v>2.6521739130434767</v>
      </c>
    </row>
    <row r="23" spans="1:8" x14ac:dyDescent="0.25">
      <c r="A23">
        <v>52</v>
      </c>
      <c r="B23">
        <f t="shared" si="0"/>
        <v>3.6521739130434767</v>
      </c>
    </row>
    <row r="24" spans="1:8" x14ac:dyDescent="0.25">
      <c r="A24">
        <v>53</v>
      </c>
      <c r="B24">
        <f t="shared" si="0"/>
        <v>4.6521739130434767</v>
      </c>
    </row>
    <row r="25" spans="1:8" x14ac:dyDescent="0.25">
      <c r="A25">
        <v>54</v>
      </c>
      <c r="B25">
        <f t="shared" si="0"/>
        <v>5.6521739130434767</v>
      </c>
    </row>
    <row r="26" spans="1:8" x14ac:dyDescent="0.25">
      <c r="A26">
        <v>55</v>
      </c>
      <c r="B26">
        <f t="shared" si="0"/>
        <v>6.6521739130434767</v>
      </c>
    </row>
    <row r="27" spans="1:8" x14ac:dyDescent="0.25">
      <c r="A27">
        <v>56</v>
      </c>
      <c r="B27">
        <f t="shared" si="0"/>
        <v>7.6521739130434767</v>
      </c>
    </row>
    <row r="28" spans="1:8" x14ac:dyDescent="0.25">
      <c r="A28">
        <v>57</v>
      </c>
      <c r="B28">
        <f t="shared" si="0"/>
        <v>8.6521739130434767</v>
      </c>
    </row>
    <row r="29" spans="1:8" x14ac:dyDescent="0.25">
      <c r="A29">
        <v>59</v>
      </c>
      <c r="B29">
        <f t="shared" si="0"/>
        <v>10.652173913043477</v>
      </c>
    </row>
    <row r="30" spans="1:8" x14ac:dyDescent="0.25">
      <c r="A30">
        <v>60</v>
      </c>
      <c r="B30">
        <f t="shared" si="0"/>
        <v>11.652173913043477</v>
      </c>
    </row>
    <row r="31" spans="1:8" x14ac:dyDescent="0.25">
      <c r="A31">
        <v>61</v>
      </c>
      <c r="B31">
        <f t="shared" si="0"/>
        <v>12.652173913043477</v>
      </c>
    </row>
    <row r="32" spans="1:8" x14ac:dyDescent="0.25">
      <c r="A32">
        <v>62</v>
      </c>
      <c r="B32">
        <f t="shared" si="0"/>
        <v>13.652173913043477</v>
      </c>
    </row>
    <row r="33" spans="1:8" x14ac:dyDescent="0.25">
      <c r="A33">
        <v>64</v>
      </c>
      <c r="B33">
        <f t="shared" si="0"/>
        <v>15.652173913043477</v>
      </c>
    </row>
    <row r="34" spans="1:8" x14ac:dyDescent="0.25">
      <c r="A34">
        <v>67</v>
      </c>
      <c r="B34">
        <f t="shared" si="0"/>
        <v>18.652173913043477</v>
      </c>
    </row>
    <row r="35" spans="1:8" x14ac:dyDescent="0.25">
      <c r="A35">
        <v>69</v>
      </c>
      <c r="B35">
        <f t="shared" si="0"/>
        <v>20.652173913043477</v>
      </c>
    </row>
    <row r="36" spans="1:8" x14ac:dyDescent="0.25">
      <c r="A36">
        <v>71</v>
      </c>
      <c r="B36">
        <f t="shared" si="0"/>
        <v>22.652173913043477</v>
      </c>
    </row>
    <row r="37" spans="1:8" x14ac:dyDescent="0.25">
      <c r="A37">
        <v>72</v>
      </c>
      <c r="B37">
        <f t="shared" si="0"/>
        <v>23.652173913043477</v>
      </c>
    </row>
    <row r="38" spans="1:8" x14ac:dyDescent="0.25">
      <c r="A38">
        <v>73</v>
      </c>
      <c r="B38">
        <f t="shared" si="0"/>
        <v>24.652173913043477</v>
      </c>
    </row>
    <row r="39" spans="1:8" x14ac:dyDescent="0.25">
      <c r="A39">
        <v>76</v>
      </c>
      <c r="B39">
        <f t="shared" si="0"/>
        <v>27.652173913043477</v>
      </c>
    </row>
    <row r="40" spans="1:8" x14ac:dyDescent="0.25">
      <c r="A40">
        <v>78</v>
      </c>
      <c r="B40">
        <f t="shared" si="0"/>
        <v>29.652173913043477</v>
      </c>
    </row>
    <row r="41" spans="1:8" x14ac:dyDescent="0.25">
      <c r="A41">
        <v>79</v>
      </c>
      <c r="B41">
        <f t="shared" si="0"/>
        <v>30.652173913043477</v>
      </c>
    </row>
    <row r="42" spans="1:8" x14ac:dyDescent="0.25">
      <c r="A42">
        <v>81</v>
      </c>
      <c r="B42">
        <f t="shared" si="0"/>
        <v>32.652173913043477</v>
      </c>
    </row>
    <row r="43" spans="1:8" x14ac:dyDescent="0.25">
      <c r="A43">
        <v>83</v>
      </c>
      <c r="B43">
        <f t="shared" si="0"/>
        <v>34.652173913043477</v>
      </c>
    </row>
    <row r="44" spans="1:8" x14ac:dyDescent="0.25">
      <c r="A44">
        <v>85</v>
      </c>
      <c r="B44">
        <f t="shared" si="0"/>
        <v>36.652173913043477</v>
      </c>
    </row>
    <row r="45" spans="1:8" x14ac:dyDescent="0.25">
      <c r="A45">
        <v>86</v>
      </c>
      <c r="B45">
        <f t="shared" si="0"/>
        <v>37.652173913043477</v>
      </c>
    </row>
    <row r="46" spans="1:8" x14ac:dyDescent="0.25">
      <c r="A46">
        <v>95</v>
      </c>
      <c r="B46">
        <f t="shared" si="0"/>
        <v>46.652173913043477</v>
      </c>
    </row>
    <row r="48" spans="1:8" x14ac:dyDescent="0.25">
      <c r="B48">
        <f>MAX(B1:B46)</f>
        <v>48.347826086956523</v>
      </c>
      <c r="H48">
        <f>MAX(H1:H20)</f>
        <v>48.347826086956523</v>
      </c>
    </row>
    <row r="49" spans="2:8" x14ac:dyDescent="0.25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topLeftCell="M1" workbookViewId="0">
      <selection activeCell="AB3" sqref="AB3:AB158"/>
    </sheetView>
  </sheetViews>
  <sheetFormatPr defaultRowHeight="16.5" x14ac:dyDescent="0.25"/>
  <sheetData>
    <row r="2" spans="1:28" x14ac:dyDescent="0.25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25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25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25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25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25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25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25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25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25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25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25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25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25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25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25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25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25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25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25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25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25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25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25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25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25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25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25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25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25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25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25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25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25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25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25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25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25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25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25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25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25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25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25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25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25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25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25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25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25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25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25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25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25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25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25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25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25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25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25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25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25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25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25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25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25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25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25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25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25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25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25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25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25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25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25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25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25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25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25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25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25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25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25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25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25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25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25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25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25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25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25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25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25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25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25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25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25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25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25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25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25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25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25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25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25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25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25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25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25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25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25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25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25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25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25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25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25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25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25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25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25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25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25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25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25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25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25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25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25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25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25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25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25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25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25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25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25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25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25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25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25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25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25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25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25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25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25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25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25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25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25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25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25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25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25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25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problem53</vt:lpstr>
      <vt:lpstr>工作表1</vt:lpstr>
      <vt:lpstr>工作表2</vt:lpstr>
      <vt:lpstr>工作表3</vt:lpstr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2026-02-17T08:47:25Z</dcterms:modified>
</cp:coreProperties>
</file>