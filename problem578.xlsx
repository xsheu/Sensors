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73D8AE4-909C-489B-AA2A-834E755CD13B}" xr6:coauthVersionLast="47" xr6:coauthVersionMax="47" xr10:uidLastSave="{00000000-0000-0000-0000-000000000000}"/>
  <bookViews>
    <workbookView xWindow="-120" yWindow="-120" windowWidth="29040" windowHeight="17520" xr2:uid="{3D2EEB68-4B2E-4216-9356-7EABD31A9678}"/>
  </bookViews>
  <sheets>
    <sheet name="problem53" sheetId="1" r:id="rId1"/>
    <sheet name="工作表1" sheetId="2" r:id="rId2"/>
    <sheet name="工作表2" sheetId="3" r:id="rId3"/>
    <sheet name="工作表3" sheetId="5" r:id="rId4"/>
    <sheet name="工作表4" sheetId="6" r:id="rId5"/>
    <sheet name="工作表5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9" i="1" l="1"/>
  <c r="J19" i="1"/>
  <c r="I19" i="1"/>
  <c r="H19" i="1"/>
  <c r="G19" i="1"/>
  <c r="K22" i="1"/>
  <c r="J22" i="1"/>
  <c r="I22" i="1"/>
  <c r="H22" i="1"/>
  <c r="G22" i="1"/>
  <c r="BI158" i="1"/>
  <c r="BI157" i="1"/>
  <c r="BI156" i="1"/>
  <c r="BI155" i="1"/>
  <c r="BI154" i="1"/>
  <c r="BI153" i="1"/>
  <c r="BI152" i="1"/>
  <c r="BI151" i="1"/>
  <c r="BI150" i="1"/>
  <c r="BI149" i="1"/>
  <c r="BI148" i="1"/>
  <c r="BI147" i="1"/>
  <c r="BI146" i="1"/>
  <c r="BI145" i="1"/>
  <c r="BI144" i="1"/>
  <c r="BI143" i="1"/>
  <c r="BI142" i="1"/>
  <c r="BI141" i="1"/>
  <c r="BI140" i="1"/>
  <c r="BI139" i="1"/>
  <c r="BI138" i="1"/>
  <c r="BI137" i="1"/>
  <c r="BI136" i="1"/>
  <c r="BI135" i="1"/>
  <c r="BI134" i="1"/>
  <c r="BI133" i="1"/>
  <c r="BI132" i="1"/>
  <c r="BI131" i="1"/>
  <c r="BI130" i="1"/>
  <c r="BI129" i="1"/>
  <c r="BI128" i="1"/>
  <c r="BI127" i="1"/>
  <c r="BI126" i="1"/>
  <c r="BI125" i="1"/>
  <c r="BI124" i="1"/>
  <c r="BI123" i="1"/>
  <c r="BI122" i="1"/>
  <c r="BI121" i="1"/>
  <c r="BI120" i="1"/>
  <c r="BI119" i="1"/>
  <c r="BI118" i="1"/>
  <c r="BI117" i="1"/>
  <c r="BI116" i="1"/>
  <c r="BI115" i="1"/>
  <c r="BI114" i="1"/>
  <c r="BI113" i="1"/>
  <c r="BI112" i="1"/>
  <c r="BI111" i="1"/>
  <c r="BI110" i="1"/>
  <c r="BI109" i="1"/>
  <c r="BI108" i="1"/>
  <c r="BI107" i="1"/>
  <c r="BI106" i="1"/>
  <c r="BI105" i="1"/>
  <c r="BI104" i="1"/>
  <c r="BI103" i="1"/>
  <c r="BI102" i="1"/>
  <c r="BI101" i="1"/>
  <c r="BI100" i="1"/>
  <c r="BI99" i="1"/>
  <c r="BI98" i="1"/>
  <c r="BI97" i="1"/>
  <c r="BI96" i="1"/>
  <c r="BI95" i="1"/>
  <c r="BI94" i="1"/>
  <c r="BI93" i="1"/>
  <c r="BI92" i="1"/>
  <c r="BI91" i="1"/>
  <c r="BI90" i="1"/>
  <c r="BI89" i="1"/>
  <c r="BI88" i="1"/>
  <c r="BI87" i="1"/>
  <c r="BI86" i="1"/>
  <c r="BI85" i="1"/>
  <c r="BI84" i="1"/>
  <c r="BI83" i="1"/>
  <c r="BI82" i="1"/>
  <c r="BI81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8" i="1"/>
  <c r="BI7" i="1"/>
  <c r="BI6" i="1"/>
  <c r="BI5" i="1"/>
  <c r="BI4" i="1"/>
  <c r="BI3" i="1"/>
  <c r="BI2" i="1"/>
  <c r="BH158" i="1"/>
  <c r="BH157" i="1"/>
  <c r="BH156" i="1"/>
  <c r="BH155" i="1"/>
  <c r="BH154" i="1"/>
  <c r="BH153" i="1"/>
  <c r="BH152" i="1"/>
  <c r="BH151" i="1"/>
  <c r="BH150" i="1"/>
  <c r="BH149" i="1"/>
  <c r="BH148" i="1"/>
  <c r="BH147" i="1"/>
  <c r="BH146" i="1"/>
  <c r="BH145" i="1"/>
  <c r="BH144" i="1"/>
  <c r="BH143" i="1"/>
  <c r="BH142" i="1"/>
  <c r="BH141" i="1"/>
  <c r="BH140" i="1"/>
  <c r="BH139" i="1"/>
  <c r="BH138" i="1"/>
  <c r="BH137" i="1"/>
  <c r="BH136" i="1"/>
  <c r="BH135" i="1"/>
  <c r="BH134" i="1"/>
  <c r="BH133" i="1"/>
  <c r="BH132" i="1"/>
  <c r="BH131" i="1"/>
  <c r="BH130" i="1"/>
  <c r="BH129" i="1"/>
  <c r="BH128" i="1"/>
  <c r="BH127" i="1"/>
  <c r="BH126" i="1"/>
  <c r="BH125" i="1"/>
  <c r="BH124" i="1"/>
  <c r="BH123" i="1"/>
  <c r="BH122" i="1"/>
  <c r="BH121" i="1"/>
  <c r="BH120" i="1"/>
  <c r="BH119" i="1"/>
  <c r="BH118" i="1"/>
  <c r="BH117" i="1"/>
  <c r="BH116" i="1"/>
  <c r="BH115" i="1"/>
  <c r="BH114" i="1"/>
  <c r="BH113" i="1"/>
  <c r="BH112" i="1"/>
  <c r="BH111" i="1"/>
  <c r="BH110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57" i="1"/>
  <c r="BH56" i="1"/>
  <c r="BH55" i="1"/>
  <c r="BH54" i="1"/>
  <c r="BH53" i="1"/>
  <c r="BH52" i="1"/>
  <c r="BH51" i="1"/>
  <c r="BH50" i="1"/>
  <c r="BH49" i="1"/>
  <c r="BH48" i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H2" i="1"/>
  <c r="K12" i="1"/>
  <c r="J12" i="1"/>
  <c r="I12" i="1"/>
  <c r="H12" i="1"/>
  <c r="G12" i="1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K139" i="2"/>
  <c r="AK138" i="2"/>
  <c r="AK137" i="2"/>
  <c r="AK136" i="2"/>
  <c r="AK135" i="2"/>
  <c r="AK134" i="2"/>
  <c r="AK133" i="2"/>
  <c r="AK132" i="2"/>
  <c r="AK131" i="2"/>
  <c r="AK130" i="2"/>
  <c r="AK129" i="2"/>
  <c r="AK128" i="2"/>
  <c r="AK127" i="2"/>
  <c r="AK126" i="2"/>
  <c r="AK125" i="2"/>
  <c r="AK124" i="2"/>
  <c r="AK123" i="2"/>
  <c r="AK122" i="2"/>
  <c r="AK121" i="2"/>
  <c r="AK120" i="2"/>
  <c r="AK119" i="2"/>
  <c r="AK118" i="2"/>
  <c r="AK117" i="2"/>
  <c r="AK116" i="2"/>
  <c r="AK115" i="2"/>
  <c r="AK114" i="2"/>
  <c r="AK113" i="2"/>
  <c r="AK112" i="2"/>
  <c r="AK111" i="2"/>
  <c r="AK110" i="2"/>
  <c r="AK109" i="2"/>
  <c r="AK108" i="2"/>
  <c r="AK107" i="2"/>
  <c r="AK106" i="2"/>
  <c r="AK105" i="2"/>
  <c r="AK104" i="2"/>
  <c r="AK103" i="2"/>
  <c r="AK102" i="2"/>
  <c r="AK101" i="2"/>
  <c r="AK100" i="2"/>
  <c r="AK99" i="2"/>
  <c r="AK98" i="2"/>
  <c r="AK97" i="2"/>
  <c r="AK96" i="2"/>
  <c r="AK95" i="2"/>
  <c r="AK94" i="2"/>
  <c r="AK93" i="2"/>
  <c r="AK92" i="2"/>
  <c r="AK91" i="2"/>
  <c r="AK90" i="2"/>
  <c r="AK89" i="2"/>
  <c r="AK88" i="2"/>
  <c r="AK87" i="2"/>
  <c r="AK86" i="2"/>
  <c r="AK85" i="2"/>
  <c r="AK84" i="2"/>
  <c r="AK83" i="2"/>
  <c r="AK82" i="2"/>
  <c r="AK81" i="2"/>
  <c r="AK80" i="2"/>
  <c r="AK79" i="2"/>
  <c r="AK78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K5" i="2"/>
  <c r="AK4" i="2"/>
  <c r="AK3" i="2"/>
  <c r="AK2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J3" i="2"/>
  <c r="AJ2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H2" i="2"/>
  <c r="AH1" i="2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U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AA158" i="7" a="1"/>
  <c r="AA158" i="7" s="1"/>
  <c r="AA157" i="7" a="1"/>
  <c r="AA157" i="7" s="1"/>
  <c r="AA156" i="7" a="1"/>
  <c r="AA156" i="7" s="1"/>
  <c r="AA155" i="7" a="1"/>
  <c r="AA155" i="7" s="1"/>
  <c r="AA154" i="7" a="1"/>
  <c r="AA154" i="7" s="1"/>
  <c r="AA153" i="7" a="1"/>
  <c r="AA153" i="7" s="1"/>
  <c r="AA152" i="7" a="1"/>
  <c r="AA152" i="7" s="1"/>
  <c r="AA151" i="7"/>
  <c r="AA151" i="7" a="1"/>
  <c r="AA150" i="7" a="1"/>
  <c r="AA150" i="7" s="1"/>
  <c r="AA149" i="7" a="1"/>
  <c r="AA149" i="7" s="1"/>
  <c r="AA148" i="7" a="1"/>
  <c r="AA148" i="7" s="1"/>
  <c r="AA147" i="7" a="1"/>
  <c r="AA147" i="7" s="1"/>
  <c r="AA146" i="7" a="1"/>
  <c r="AA146" i="7" s="1"/>
  <c r="AA145" i="7" a="1"/>
  <c r="AA145" i="7" s="1"/>
  <c r="AA144" i="7" a="1"/>
  <c r="AA144" i="7" s="1"/>
  <c r="AA143" i="7"/>
  <c r="AA143" i="7" a="1"/>
  <c r="AA142" i="7" a="1"/>
  <c r="AA142" i="7" s="1"/>
  <c r="AA141" i="7" a="1"/>
  <c r="AA141" i="7" s="1"/>
  <c r="AA140" i="7" a="1"/>
  <c r="AA140" i="7" s="1"/>
  <c r="AA139" i="7" a="1"/>
  <c r="AA139" i="7" s="1"/>
  <c r="AA138" i="7" a="1"/>
  <c r="AA138" i="7" s="1"/>
  <c r="AA137" i="7" a="1"/>
  <c r="AA137" i="7" s="1"/>
  <c r="AA136" i="7" a="1"/>
  <c r="AA136" i="7" s="1"/>
  <c r="AA135" i="7"/>
  <c r="AA135" i="7" a="1"/>
  <c r="AA134" i="7" a="1"/>
  <c r="AA134" i="7" s="1"/>
  <c r="AA133" i="7" a="1"/>
  <c r="AA133" i="7" s="1"/>
  <c r="AA132" i="7" a="1"/>
  <c r="AA132" i="7" s="1"/>
  <c r="AA131" i="7" a="1"/>
  <c r="AA131" i="7" s="1"/>
  <c r="AA130" i="7" a="1"/>
  <c r="AA130" i="7" s="1"/>
  <c r="AA129" i="7" a="1"/>
  <c r="AA129" i="7" s="1"/>
  <c r="AA128" i="7" a="1"/>
  <c r="AA128" i="7" s="1"/>
  <c r="AA127" i="7"/>
  <c r="AA127" i="7" a="1"/>
  <c r="AA126" i="7" a="1"/>
  <c r="AA126" i="7" s="1"/>
  <c r="AA125" i="7" a="1"/>
  <c r="AA125" i="7" s="1"/>
  <c r="AA124" i="7" a="1"/>
  <c r="AA124" i="7" s="1"/>
  <c r="AA123" i="7" a="1"/>
  <c r="AA123" i="7" s="1"/>
  <c r="AA122" i="7" a="1"/>
  <c r="AA122" i="7" s="1"/>
  <c r="AA121" i="7" a="1"/>
  <c r="AA121" i="7" s="1"/>
  <c r="AA120" i="7" a="1"/>
  <c r="AA120" i="7" s="1"/>
  <c r="AA119" i="7"/>
  <c r="AA119" i="7" a="1"/>
  <c r="AA118" i="7" a="1"/>
  <c r="AA118" i="7" s="1"/>
  <c r="AA117" i="7" a="1"/>
  <c r="AA117" i="7" s="1"/>
  <c r="AA116" i="7" a="1"/>
  <c r="AA116" i="7" s="1"/>
  <c r="AA115" i="7" a="1"/>
  <c r="AA115" i="7" s="1"/>
  <c r="AA114" i="7" a="1"/>
  <c r="AA114" i="7" s="1"/>
  <c r="AA113" i="7" a="1"/>
  <c r="AA113" i="7" s="1"/>
  <c r="AA112" i="7" a="1"/>
  <c r="AA112" i="7" s="1"/>
  <c r="AA111" i="7"/>
  <c r="AA111" i="7" a="1"/>
  <c r="AA110" i="7" a="1"/>
  <c r="AA110" i="7" s="1"/>
  <c r="AA109" i="7" a="1"/>
  <c r="AA109" i="7" s="1"/>
  <c r="AA108" i="7" a="1"/>
  <c r="AA108" i="7" s="1"/>
  <c r="AA107" i="7" a="1"/>
  <c r="AA107" i="7" s="1"/>
  <c r="AA106" i="7" a="1"/>
  <c r="AA106" i="7" s="1"/>
  <c r="AA105" i="7" a="1"/>
  <c r="AA105" i="7" s="1"/>
  <c r="AA104" i="7" a="1"/>
  <c r="AA104" i="7" s="1"/>
  <c r="AA103" i="7"/>
  <c r="AA103" i="7" a="1"/>
  <c r="AA102" i="7" a="1"/>
  <c r="AA102" i="7" s="1"/>
  <c r="AA101" i="7" a="1"/>
  <c r="AA101" i="7" s="1"/>
  <c r="AA100" i="7" a="1"/>
  <c r="AA100" i="7" s="1"/>
  <c r="AA99" i="7" a="1"/>
  <c r="AA99" i="7" s="1"/>
  <c r="AA98" i="7" a="1"/>
  <c r="AA98" i="7" s="1"/>
  <c r="AA97" i="7" a="1"/>
  <c r="AA97" i="7" s="1"/>
  <c r="AA96" i="7" a="1"/>
  <c r="AA96" i="7" s="1"/>
  <c r="AA95" i="7"/>
  <c r="AA95" i="7" a="1"/>
  <c r="AA94" i="7" a="1"/>
  <c r="AA94" i="7" s="1"/>
  <c r="AA93" i="7" a="1"/>
  <c r="AA93" i="7" s="1"/>
  <c r="AA92" i="7" a="1"/>
  <c r="AA92" i="7" s="1"/>
  <c r="AA91" i="7" a="1"/>
  <c r="AA91" i="7" s="1"/>
  <c r="AA90" i="7" a="1"/>
  <c r="AA90" i="7" s="1"/>
  <c r="AA89" i="7" a="1"/>
  <c r="AA89" i="7" s="1"/>
  <c r="AA88" i="7" a="1"/>
  <c r="AA88" i="7" s="1"/>
  <c r="AA87" i="7"/>
  <c r="AA87" i="7" a="1"/>
  <c r="AA86" i="7" a="1"/>
  <c r="AA86" i="7" s="1"/>
  <c r="AA85" i="7" a="1"/>
  <c r="AA85" i="7" s="1"/>
  <c r="AA84" i="7" a="1"/>
  <c r="AA84" i="7" s="1"/>
  <c r="AA83" i="7" a="1"/>
  <c r="AA83" i="7" s="1"/>
  <c r="AA82" i="7" a="1"/>
  <c r="AA82" i="7" s="1"/>
  <c r="AA81" i="7" a="1"/>
  <c r="AA81" i="7" s="1"/>
  <c r="AA80" i="7" a="1"/>
  <c r="AA80" i="7" s="1"/>
  <c r="AA79" i="7"/>
  <c r="AA79" i="7" a="1"/>
  <c r="AA78" i="7" a="1"/>
  <c r="AA78" i="7" s="1"/>
  <c r="AA77" i="7" a="1"/>
  <c r="AA77" i="7" s="1"/>
  <c r="AA76" i="7" a="1"/>
  <c r="AA76" i="7" s="1"/>
  <c r="AA75" i="7" a="1"/>
  <c r="AA75" i="7" s="1"/>
  <c r="AA74" i="7" a="1"/>
  <c r="AA74" i="7" s="1"/>
  <c r="AA73" i="7" a="1"/>
  <c r="AA73" i="7" s="1"/>
  <c r="AA72" i="7" a="1"/>
  <c r="AA72" i="7" s="1"/>
  <c r="AA71" i="7"/>
  <c r="AA71" i="7" a="1"/>
  <c r="AA70" i="7" a="1"/>
  <c r="AA70" i="7" s="1"/>
  <c r="AA69" i="7" a="1"/>
  <c r="AA69" i="7" s="1"/>
  <c r="AA68" i="7" a="1"/>
  <c r="AA68" i="7" s="1"/>
  <c r="AA67" i="7" a="1"/>
  <c r="AA67" i="7" s="1"/>
  <c r="AA66" i="7" a="1"/>
  <c r="AA66" i="7" s="1"/>
  <c r="AA65" i="7" a="1"/>
  <c r="AA65" i="7" s="1"/>
  <c r="AA64" i="7" a="1"/>
  <c r="AA64" i="7" s="1"/>
  <c r="AA63" i="7"/>
  <c r="AA63" i="7" a="1"/>
  <c r="AA62" i="7" a="1"/>
  <c r="AA62" i="7" s="1"/>
  <c r="AA61" i="7" a="1"/>
  <c r="AA61" i="7" s="1"/>
  <c r="AA60" i="7" a="1"/>
  <c r="AA60" i="7" s="1"/>
  <c r="AA59" i="7" a="1"/>
  <c r="AA59" i="7" s="1"/>
  <c r="AA58" i="7" a="1"/>
  <c r="AA58" i="7" s="1"/>
  <c r="AA57" i="7" a="1"/>
  <c r="AA57" i="7" s="1"/>
  <c r="AA56" i="7" a="1"/>
  <c r="AA56" i="7" s="1"/>
  <c r="AA55" i="7"/>
  <c r="AA55" i="7" a="1"/>
  <c r="AA54" i="7" a="1"/>
  <c r="AA54" i="7" s="1"/>
  <c r="AA53" i="7" a="1"/>
  <c r="AA53" i="7" s="1"/>
  <c r="AA52" i="7" a="1"/>
  <c r="AA52" i="7" s="1"/>
  <c r="AA51" i="7" a="1"/>
  <c r="AA51" i="7" s="1"/>
  <c r="AA50" i="7" a="1"/>
  <c r="AA50" i="7" s="1"/>
  <c r="AA49" i="7" a="1"/>
  <c r="AA49" i="7" s="1"/>
  <c r="AA48" i="7" a="1"/>
  <c r="AA48" i="7" s="1"/>
  <c r="AA47" i="7"/>
  <c r="AA47" i="7" a="1"/>
  <c r="AA46" i="7" a="1"/>
  <c r="AA46" i="7" s="1"/>
  <c r="AA45" i="7" a="1"/>
  <c r="AA45" i="7" s="1"/>
  <c r="AA44" i="7" a="1"/>
  <c r="AA44" i="7" s="1"/>
  <c r="AA43" i="7" a="1"/>
  <c r="AA43" i="7" s="1"/>
  <c r="AA42" i="7" a="1"/>
  <c r="AA42" i="7" s="1"/>
  <c r="AA41" i="7" a="1"/>
  <c r="AA41" i="7" s="1"/>
  <c r="AA40" i="7" a="1"/>
  <c r="AA40" i="7" s="1"/>
  <c r="AA39" i="7"/>
  <c r="AA39" i="7" a="1"/>
  <c r="AA38" i="7" a="1"/>
  <c r="AA38" i="7" s="1"/>
  <c r="AA37" i="7" a="1"/>
  <c r="AA37" i="7" s="1"/>
  <c r="AA36" i="7" a="1"/>
  <c r="AA36" i="7" s="1"/>
  <c r="AA35" i="7" a="1"/>
  <c r="AA35" i="7" s="1"/>
  <c r="AA34" i="7" a="1"/>
  <c r="AA34" i="7" s="1"/>
  <c r="AA33" i="7" a="1"/>
  <c r="AA33" i="7" s="1"/>
  <c r="AA32" i="7" a="1"/>
  <c r="AA32" i="7" s="1"/>
  <c r="AA31" i="7"/>
  <c r="AA31" i="7" a="1"/>
  <c r="AA30" i="7" a="1"/>
  <c r="AA30" i="7" s="1"/>
  <c r="AA29" i="7" a="1"/>
  <c r="AA29" i="7" s="1"/>
  <c r="AA28" i="7" a="1"/>
  <c r="AA28" i="7" s="1"/>
  <c r="AA27" i="7" a="1"/>
  <c r="AA27" i="7" s="1"/>
  <c r="AA26" i="7" a="1"/>
  <c r="AA26" i="7" s="1"/>
  <c r="AA25" i="7" a="1"/>
  <c r="AA25" i="7" s="1"/>
  <c r="AA24" i="7" a="1"/>
  <c r="AA24" i="7" s="1"/>
  <c r="AA23" i="7"/>
  <c r="AA23" i="7" a="1"/>
  <c r="AA22" i="7" a="1"/>
  <c r="AA22" i="7" s="1"/>
  <c r="AA21" i="7" a="1"/>
  <c r="AA21" i="7" s="1"/>
  <c r="AA20" i="7" a="1"/>
  <c r="AA20" i="7" s="1"/>
  <c r="AA19" i="7" a="1"/>
  <c r="AA19" i="7" s="1"/>
  <c r="AA18" i="7" a="1"/>
  <c r="AA18" i="7" s="1"/>
  <c r="AA17" i="7" a="1"/>
  <c r="AA17" i="7" s="1"/>
  <c r="AA16" i="7" a="1"/>
  <c r="AA16" i="7" s="1"/>
  <c r="AA15" i="7"/>
  <c r="AA15" i="7" a="1"/>
  <c r="AA14" i="7" a="1"/>
  <c r="AA14" i="7" s="1"/>
  <c r="AA13" i="7" a="1"/>
  <c r="AA13" i="7" s="1"/>
  <c r="AA12" i="7" a="1"/>
  <c r="AA12" i="7" s="1"/>
  <c r="AA11" i="7" a="1"/>
  <c r="AA11" i="7" s="1"/>
  <c r="AA10" i="7" a="1"/>
  <c r="AA10" i="7" s="1"/>
  <c r="AA9" i="7" a="1"/>
  <c r="AA9" i="7" s="1"/>
  <c r="AA8" i="7" a="1"/>
  <c r="AA8" i="7" s="1"/>
  <c r="AA7" i="7"/>
  <c r="AA7" i="7" a="1"/>
  <c r="AA6" i="7" a="1"/>
  <c r="AA6" i="7" s="1"/>
  <c r="AA5" i="7" a="1"/>
  <c r="AA5" i="7" s="1"/>
  <c r="AA4" i="7" a="1"/>
  <c r="AA4" i="7" s="1"/>
  <c r="AA3" i="7" a="1"/>
  <c r="AA3" i="7" s="1"/>
  <c r="AA2" i="7" a="1"/>
  <c r="AA2" i="7" s="1"/>
  <c r="Z4" i="7" a="1"/>
  <c r="Z4" i="7" s="1"/>
  <c r="S5" i="7"/>
  <c r="S6" i="7" s="1"/>
  <c r="S4" i="7" a="1"/>
  <c r="S4" i="7" s="1"/>
  <c r="Z3" i="7"/>
  <c r="D5" i="7"/>
  <c r="T63" i="7" a="1"/>
  <c r="T63" i="7" s="1"/>
  <c r="T62" i="7" a="1"/>
  <c r="T62" i="7" s="1"/>
  <c r="T61" i="7" a="1"/>
  <c r="T61" i="7" s="1"/>
  <c r="T60" i="7" a="1"/>
  <c r="T60" i="7" s="1"/>
  <c r="T59" i="7" a="1"/>
  <c r="T59" i="7" s="1"/>
  <c r="T58" i="7" a="1"/>
  <c r="T58" i="7" s="1"/>
  <c r="T57" i="7" a="1"/>
  <c r="T57" i="7" s="1"/>
  <c r="T56" i="7" a="1"/>
  <c r="T56" i="7" s="1"/>
  <c r="T55" i="7" a="1"/>
  <c r="T55" i="7" s="1"/>
  <c r="T54" i="7" a="1"/>
  <c r="T54" i="7" s="1"/>
  <c r="T53" i="7" a="1"/>
  <c r="T53" i="7" s="1"/>
  <c r="T52" i="7" a="1"/>
  <c r="T52" i="7" s="1"/>
  <c r="T51" i="7" a="1"/>
  <c r="T51" i="7" s="1"/>
  <c r="T50" i="7" a="1"/>
  <c r="T50" i="7" s="1"/>
  <c r="T49" i="7" a="1"/>
  <c r="T49" i="7" s="1"/>
  <c r="T48" i="7" a="1"/>
  <c r="T48" i="7" s="1"/>
  <c r="T47" i="7" a="1"/>
  <c r="T47" i="7" s="1"/>
  <c r="T46" i="7" a="1"/>
  <c r="T46" i="7" s="1"/>
  <c r="T45" i="7" a="1"/>
  <c r="T45" i="7" s="1"/>
  <c r="T44" i="7" a="1"/>
  <c r="T44" i="7" s="1"/>
  <c r="T43" i="7" a="1"/>
  <c r="T43" i="7" s="1"/>
  <c r="T42" i="7" a="1"/>
  <c r="T42" i="7" s="1"/>
  <c r="T41" i="7" a="1"/>
  <c r="T41" i="7" s="1"/>
  <c r="T40" i="7" a="1"/>
  <c r="T40" i="7" s="1"/>
  <c r="T39" i="7" a="1"/>
  <c r="T39" i="7" s="1"/>
  <c r="T38" i="7" a="1"/>
  <c r="T38" i="7" s="1"/>
  <c r="T37" i="7" a="1"/>
  <c r="T37" i="7" s="1"/>
  <c r="T36" i="7" a="1"/>
  <c r="T36" i="7" s="1"/>
  <c r="T35" i="7" a="1"/>
  <c r="T35" i="7" s="1"/>
  <c r="T34" i="7" a="1"/>
  <c r="T34" i="7" s="1"/>
  <c r="T33" i="7" a="1"/>
  <c r="T33" i="7" s="1"/>
  <c r="T32" i="7" a="1"/>
  <c r="T32" i="7" s="1"/>
  <c r="T31" i="7" a="1"/>
  <c r="T31" i="7" s="1"/>
  <c r="T30" i="7" a="1"/>
  <c r="T30" i="7" s="1"/>
  <c r="T29" i="7" a="1"/>
  <c r="T29" i="7" s="1"/>
  <c r="T28" i="7" a="1"/>
  <c r="T28" i="7" s="1"/>
  <c r="T27" i="7" a="1"/>
  <c r="T27" i="7" s="1"/>
  <c r="T26" i="7" a="1"/>
  <c r="T26" i="7" s="1"/>
  <c r="T25" i="7" a="1"/>
  <c r="T25" i="7" s="1"/>
  <c r="T24" i="7" a="1"/>
  <c r="T24" i="7" s="1"/>
  <c r="T23" i="7" a="1"/>
  <c r="T23" i="7" s="1"/>
  <c r="T22" i="7" a="1"/>
  <c r="T22" i="7" s="1"/>
  <c r="T21" i="7" a="1"/>
  <c r="T21" i="7" s="1"/>
  <c r="T20" i="7" a="1"/>
  <c r="T20" i="7" s="1"/>
  <c r="T19" i="7"/>
  <c r="T19" i="7" a="1"/>
  <c r="T18" i="7" a="1"/>
  <c r="T18" i="7" s="1"/>
  <c r="T17" i="7" a="1"/>
  <c r="T17" i="7" s="1"/>
  <c r="T16" i="7"/>
  <c r="T16" i="7" a="1"/>
  <c r="T15" i="7" a="1"/>
  <c r="T15" i="7" s="1"/>
  <c r="T14" i="7" a="1"/>
  <c r="T14" i="7" s="1"/>
  <c r="T13" i="7" a="1"/>
  <c r="T13" i="7" s="1"/>
  <c r="T12" i="7" a="1"/>
  <c r="T12" i="7" s="1"/>
  <c r="T11" i="7"/>
  <c r="T11" i="7" a="1"/>
  <c r="T10" i="7" a="1"/>
  <c r="T10" i="7" s="1"/>
  <c r="T9" i="7" a="1"/>
  <c r="T9" i="7" s="1"/>
  <c r="T8" i="7" a="1"/>
  <c r="T8" i="7" s="1"/>
  <c r="T7" i="7" a="1"/>
  <c r="T7" i="7" s="1"/>
  <c r="T6" i="7" a="1"/>
  <c r="T6" i="7" s="1"/>
  <c r="T5" i="7" a="1"/>
  <c r="T5" i="7" s="1"/>
  <c r="T4" i="7" a="1"/>
  <c r="T4" i="7" s="1"/>
  <c r="T3" i="7"/>
  <c r="T3" i="7" a="1"/>
  <c r="T2" i="7" a="1"/>
  <c r="T2" i="7" s="1"/>
  <c r="S3" i="7"/>
  <c r="M21" i="7" a="1"/>
  <c r="M21" i="7" s="1"/>
  <c r="M20" i="7"/>
  <c r="M20" i="7" a="1"/>
  <c r="M19" i="7"/>
  <c r="M19" i="7" a="1"/>
  <c r="M18" i="7" a="1"/>
  <c r="M18" i="7" s="1"/>
  <c r="M17" i="7" a="1"/>
  <c r="M17" i="7" s="1"/>
  <c r="M16" i="7" a="1"/>
  <c r="M16" i="7" s="1"/>
  <c r="M15" i="7"/>
  <c r="M15" i="7" a="1"/>
  <c r="M14" i="7"/>
  <c r="M14" i="7" a="1"/>
  <c r="M13" i="7" a="1"/>
  <c r="M13" i="7" s="1"/>
  <c r="M12" i="7" a="1"/>
  <c r="M12" i="7" s="1"/>
  <c r="M11" i="7"/>
  <c r="M11" i="7" a="1"/>
  <c r="M10" i="7" a="1"/>
  <c r="M10" i="7" s="1"/>
  <c r="M9" i="7" a="1"/>
  <c r="M9" i="7" s="1"/>
  <c r="M8" i="7" a="1"/>
  <c r="M8" i="7" s="1"/>
  <c r="M7" i="7" a="1"/>
  <c r="M7" i="7" s="1"/>
  <c r="M6" i="7"/>
  <c r="M6" i="7" a="1"/>
  <c r="M5" i="7" a="1"/>
  <c r="M5" i="7" s="1"/>
  <c r="M4" i="7" a="1"/>
  <c r="M4" i="7" s="1"/>
  <c r="M3" i="7"/>
  <c r="M3" i="7" a="1"/>
  <c r="M2" i="7" a="1"/>
  <c r="M2" i="7" s="1"/>
  <c r="L4" i="7" a="1"/>
  <c r="L4" i="7" s="1"/>
  <c r="L3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3" i="7"/>
  <c r="F2" i="7"/>
  <c r="D6" i="7"/>
  <c r="F5" i="7" s="1"/>
  <c r="E47" i="7" a="1"/>
  <c r="E47" i="7" s="1"/>
  <c r="E46" i="7" a="1"/>
  <c r="E46" i="7" s="1"/>
  <c r="E45" i="7" a="1"/>
  <c r="E45" i="7" s="1"/>
  <c r="E44" i="7"/>
  <c r="E44" i="7" a="1"/>
  <c r="E43" i="7" a="1"/>
  <c r="E43" i="7" s="1"/>
  <c r="E42" i="7" a="1"/>
  <c r="E42" i="7" s="1"/>
  <c r="E41" i="7"/>
  <c r="E41" i="7" a="1"/>
  <c r="E40" i="7" a="1"/>
  <c r="E40" i="7" s="1"/>
  <c r="E39" i="7" a="1"/>
  <c r="E39" i="7" s="1"/>
  <c r="E38" i="7" a="1"/>
  <c r="E38" i="7" s="1"/>
  <c r="E37" i="7" a="1"/>
  <c r="E37" i="7" s="1"/>
  <c r="E36" i="7"/>
  <c r="E36" i="7" a="1"/>
  <c r="E35" i="7" a="1"/>
  <c r="E35" i="7" s="1"/>
  <c r="E34" i="7" a="1"/>
  <c r="E34" i="7" s="1"/>
  <c r="E33" i="7"/>
  <c r="E33" i="7" a="1"/>
  <c r="E32" i="7" a="1"/>
  <c r="E32" i="7" s="1"/>
  <c r="E31" i="7" a="1"/>
  <c r="E31" i="7" s="1"/>
  <c r="E30" i="7" a="1"/>
  <c r="E30" i="7" s="1"/>
  <c r="E29" i="7" a="1"/>
  <c r="E29" i="7" s="1"/>
  <c r="E28" i="7"/>
  <c r="E28" i="7" a="1"/>
  <c r="E27" i="7" a="1"/>
  <c r="E27" i="7" s="1"/>
  <c r="E26" i="7" a="1"/>
  <c r="E26" i="7" s="1"/>
  <c r="E25" i="7"/>
  <c r="E25" i="7" a="1"/>
  <c r="E24" i="7" a="1"/>
  <c r="E24" i="7" s="1"/>
  <c r="E23" i="7" a="1"/>
  <c r="E23" i="7" s="1"/>
  <c r="E22" i="7" a="1"/>
  <c r="E22" i="7" s="1"/>
  <c r="E21" i="7" a="1"/>
  <c r="E21" i="7" s="1"/>
  <c r="E20" i="7"/>
  <c r="E20" i="7" a="1"/>
  <c r="E19" i="7" a="1"/>
  <c r="E19" i="7" s="1"/>
  <c r="E18" i="7" a="1"/>
  <c r="E18" i="7" s="1"/>
  <c r="E17" i="7"/>
  <c r="E17" i="7" a="1"/>
  <c r="E16" i="7" a="1"/>
  <c r="E16" i="7" s="1"/>
  <c r="E15" i="7" a="1"/>
  <c r="E15" i="7" s="1"/>
  <c r="E14" i="7" a="1"/>
  <c r="E14" i="7" s="1"/>
  <c r="E13" i="7" a="1"/>
  <c r="E13" i="7" s="1"/>
  <c r="E12" i="7"/>
  <c r="E12" i="7" a="1"/>
  <c r="E11" i="7" a="1"/>
  <c r="E11" i="7" s="1"/>
  <c r="E10" i="7" a="1"/>
  <c r="E10" i="7" s="1"/>
  <c r="E9" i="7"/>
  <c r="E9" i="7" a="1"/>
  <c r="E8" i="7" a="1"/>
  <c r="E8" i="7" s="1"/>
  <c r="E7" i="7" a="1"/>
  <c r="E7" i="7" s="1"/>
  <c r="E6" i="7" a="1"/>
  <c r="E6" i="7" s="1"/>
  <c r="E5" i="7" a="1"/>
  <c r="E5" i="7" s="1"/>
  <c r="E4" i="7"/>
  <c r="E4" i="7" a="1"/>
  <c r="E3" i="7" a="1"/>
  <c r="E3" i="7" s="1"/>
  <c r="E2" i="7" a="1"/>
  <c r="E2" i="7"/>
  <c r="D4" i="7" a="1"/>
  <c r="D4" i="7" s="1"/>
  <c r="D3" i="7"/>
  <c r="J12" i="6"/>
  <c r="J3" i="6"/>
  <c r="J2" i="6"/>
  <c r="J1" i="6"/>
  <c r="H48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J6" i="6"/>
  <c r="H6" i="6"/>
  <c r="H5" i="6"/>
  <c r="H4" i="6"/>
  <c r="H3" i="6"/>
  <c r="H2" i="6"/>
  <c r="K1" i="6"/>
  <c r="H1" i="6"/>
  <c r="W158" i="5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1" i="1"/>
  <c r="J21" i="1"/>
  <c r="I21" i="1"/>
  <c r="H21" i="1"/>
  <c r="K20" i="1"/>
  <c r="J20" i="1"/>
  <c r="I20" i="1"/>
  <c r="H20" i="1"/>
  <c r="G21" i="1"/>
  <c r="G20" i="1"/>
  <c r="D4" i="5"/>
  <c r="K11" i="1"/>
  <c r="J11" i="1"/>
  <c r="I11" i="1"/>
  <c r="G11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C158" i="1"/>
  <c r="BC157" i="1"/>
  <c r="BC156" i="1"/>
  <c r="BC155" i="1"/>
  <c r="BC154" i="1"/>
  <c r="BC153" i="1"/>
  <c r="BC152" i="1"/>
  <c r="BC151" i="1"/>
  <c r="BC150" i="1"/>
  <c r="BC149" i="1"/>
  <c r="BC148" i="1"/>
  <c r="BC147" i="1"/>
  <c r="BC146" i="1"/>
  <c r="BC145" i="1"/>
  <c r="BC144" i="1"/>
  <c r="BC143" i="1"/>
  <c r="BC142" i="1"/>
  <c r="BC141" i="1"/>
  <c r="BC140" i="1"/>
  <c r="BC139" i="1"/>
  <c r="BC138" i="1"/>
  <c r="BC137" i="1"/>
  <c r="BC136" i="1"/>
  <c r="BC135" i="1"/>
  <c r="BC134" i="1"/>
  <c r="BC133" i="1"/>
  <c r="BC132" i="1"/>
  <c r="BC131" i="1"/>
  <c r="BC130" i="1"/>
  <c r="BC129" i="1"/>
  <c r="BC128" i="1"/>
  <c r="BC127" i="1"/>
  <c r="BC126" i="1"/>
  <c r="BC125" i="1"/>
  <c r="BC124" i="1"/>
  <c r="BC123" i="1"/>
  <c r="BC122" i="1"/>
  <c r="BC121" i="1"/>
  <c r="BC120" i="1"/>
  <c r="BC119" i="1"/>
  <c r="BC118" i="1"/>
  <c r="BC117" i="1"/>
  <c r="BC116" i="1"/>
  <c r="BC115" i="1"/>
  <c r="BC114" i="1"/>
  <c r="BC113" i="1"/>
  <c r="BC112" i="1"/>
  <c r="BC111" i="1"/>
  <c r="BC110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  <c r="BC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T2" i="1"/>
  <c r="AR64" i="1" l="1"/>
  <c r="AS50" i="1" s="1"/>
  <c r="AG22" i="1"/>
  <c r="AH19" i="1" s="1"/>
  <c r="BC159" i="1"/>
  <c r="BD54" i="1" s="1"/>
  <c r="Z5" i="7"/>
  <c r="Z6" i="7" s="1"/>
  <c r="F4" i="7"/>
  <c r="L5" i="7"/>
  <c r="L6" i="7" s="1"/>
  <c r="J7" i="6"/>
  <c r="J9" i="6" s="1"/>
  <c r="H49" i="6"/>
  <c r="D1" i="6"/>
  <c r="D2" i="6"/>
  <c r="B33" i="6" s="1"/>
  <c r="D3" i="6"/>
  <c r="C3" i="5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AA2" i="1"/>
  <c r="T48" i="1"/>
  <c r="U12" i="1" s="1"/>
  <c r="AH4" i="1" l="1"/>
  <c r="AS13" i="1"/>
  <c r="AH6" i="1"/>
  <c r="AH18" i="1"/>
  <c r="AS21" i="1"/>
  <c r="AS34" i="1"/>
  <c r="AS9" i="1"/>
  <c r="AH8" i="1"/>
  <c r="BD26" i="1"/>
  <c r="BD44" i="1"/>
  <c r="BD152" i="1"/>
  <c r="BD80" i="1"/>
  <c r="BD113" i="1"/>
  <c r="AS36" i="1"/>
  <c r="BD147" i="1"/>
  <c r="BD66" i="1"/>
  <c r="BD123" i="1"/>
  <c r="BD99" i="1"/>
  <c r="BD155" i="1"/>
  <c r="BD151" i="1"/>
  <c r="BD117" i="1"/>
  <c r="BD21" i="1"/>
  <c r="BD130" i="1"/>
  <c r="BD95" i="1"/>
  <c r="BD59" i="1"/>
  <c r="BD31" i="1"/>
  <c r="BD73" i="1"/>
  <c r="AS57" i="1"/>
  <c r="BD68" i="1"/>
  <c r="BD128" i="1"/>
  <c r="BD63" i="1"/>
  <c r="BD32" i="1"/>
  <c r="BD131" i="1"/>
  <c r="BD127" i="1"/>
  <c r="BD154" i="1"/>
  <c r="BD55" i="1"/>
  <c r="BD106" i="1"/>
  <c r="BD71" i="1"/>
  <c r="BD35" i="1"/>
  <c r="AS56" i="1"/>
  <c r="AS33" i="1"/>
  <c r="BD20" i="1"/>
  <c r="BD2" i="1"/>
  <c r="AS3" i="1"/>
  <c r="BD97" i="1"/>
  <c r="BD22" i="1"/>
  <c r="BD100" i="1"/>
  <c r="BD70" i="1"/>
  <c r="BD56" i="1"/>
  <c r="BD144" i="1"/>
  <c r="BD65" i="1"/>
  <c r="BD120" i="1"/>
  <c r="BD8" i="1"/>
  <c r="BD17" i="1"/>
  <c r="BD96" i="1"/>
  <c r="AS35" i="1"/>
  <c r="AS63" i="1"/>
  <c r="BD112" i="1"/>
  <c r="BD72" i="1"/>
  <c r="AS11" i="1"/>
  <c r="AS39" i="1"/>
  <c r="BD75" i="1"/>
  <c r="BD64" i="1"/>
  <c r="BD48" i="1"/>
  <c r="AS53" i="1"/>
  <c r="BD62" i="1"/>
  <c r="BD27" i="1"/>
  <c r="BD16" i="1"/>
  <c r="BD24" i="1"/>
  <c r="BD143" i="1"/>
  <c r="AS44" i="1"/>
  <c r="BD119" i="1"/>
  <c r="BD83" i="1"/>
  <c r="BD103" i="1"/>
  <c r="BD121" i="1"/>
  <c r="BD82" i="1"/>
  <c r="BD47" i="1"/>
  <c r="BD81" i="1"/>
  <c r="BD14" i="1"/>
  <c r="AS32" i="1"/>
  <c r="BD30" i="1"/>
  <c r="BD58" i="1"/>
  <c r="BD23" i="1"/>
  <c r="BD57" i="1"/>
  <c r="BD150" i="1"/>
  <c r="AS8" i="1"/>
  <c r="AS55" i="1"/>
  <c r="BD139" i="1"/>
  <c r="BD115" i="1"/>
  <c r="BD91" i="1"/>
  <c r="BD104" i="1"/>
  <c r="BD43" i="1"/>
  <c r="BD19" i="1"/>
  <c r="BD34" i="1"/>
  <c r="AS31" i="1"/>
  <c r="BD10" i="1"/>
  <c r="BD118" i="1"/>
  <c r="BD102" i="1"/>
  <c r="AS7" i="1"/>
  <c r="BD51" i="1"/>
  <c r="BD3" i="1"/>
  <c r="BD67" i="1"/>
  <c r="AS42" i="1"/>
  <c r="BD4" i="1"/>
  <c r="BD142" i="1"/>
  <c r="BD33" i="1"/>
  <c r="BD126" i="1"/>
  <c r="BD146" i="1"/>
  <c r="BD94" i="1"/>
  <c r="AS15" i="1"/>
  <c r="BD78" i="1"/>
  <c r="BD61" i="1"/>
  <c r="BD6" i="1"/>
  <c r="BD50" i="1"/>
  <c r="AS54" i="1"/>
  <c r="BD122" i="1"/>
  <c r="BD46" i="1"/>
  <c r="BD45" i="1"/>
  <c r="BD29" i="1"/>
  <c r="AS43" i="1"/>
  <c r="BD38" i="1"/>
  <c r="BD98" i="1"/>
  <c r="BD92" i="1"/>
  <c r="AS4" i="1"/>
  <c r="BD116" i="1"/>
  <c r="BD79" i="1"/>
  <c r="AH14" i="1"/>
  <c r="AH3" i="1"/>
  <c r="AH20" i="1"/>
  <c r="AH13" i="1"/>
  <c r="AH12" i="1"/>
  <c r="AH9" i="1"/>
  <c r="AH2" i="1"/>
  <c r="AS41" i="1"/>
  <c r="AS40" i="1"/>
  <c r="AS61" i="1"/>
  <c r="AS6" i="1"/>
  <c r="AS49" i="1"/>
  <c r="AS5" i="1"/>
  <c r="AS48" i="1"/>
  <c r="AS47" i="1"/>
  <c r="AS25" i="1"/>
  <c r="AS24" i="1"/>
  <c r="AS23" i="1"/>
  <c r="AS60" i="1"/>
  <c r="AS58" i="1"/>
  <c r="AS51" i="1"/>
  <c r="AS59" i="1"/>
  <c r="AS52" i="1"/>
  <c r="AS17" i="1"/>
  <c r="AS12" i="1"/>
  <c r="AS19" i="1"/>
  <c r="AS18" i="1"/>
  <c r="AS26" i="1"/>
  <c r="AS30" i="1"/>
  <c r="AS29" i="1"/>
  <c r="AH17" i="1"/>
  <c r="AS2" i="1"/>
  <c r="AS62" i="1"/>
  <c r="AH21" i="1"/>
  <c r="AS46" i="1"/>
  <c r="AH7" i="1"/>
  <c r="AH10" i="1"/>
  <c r="AH5" i="1"/>
  <c r="AS16" i="1"/>
  <c r="AH11" i="1"/>
  <c r="AS28" i="1"/>
  <c r="AS27" i="1"/>
  <c r="AH16" i="1"/>
  <c r="AS10" i="1"/>
  <c r="AS45" i="1"/>
  <c r="AS38" i="1"/>
  <c r="AS22" i="1"/>
  <c r="AS20" i="1"/>
  <c r="BD153" i="1"/>
  <c r="BD129" i="1"/>
  <c r="BD105" i="1"/>
  <c r="BD132" i="1"/>
  <c r="BD36" i="1"/>
  <c r="BD157" i="1"/>
  <c r="BD125" i="1"/>
  <c r="BD156" i="1"/>
  <c r="BD124" i="1"/>
  <c r="BD90" i="1"/>
  <c r="BD60" i="1"/>
  <c r="BD28" i="1"/>
  <c r="BD89" i="1"/>
  <c r="BD88" i="1"/>
  <c r="BD136" i="1"/>
  <c r="BD135" i="1"/>
  <c r="BD77" i="1"/>
  <c r="BD134" i="1"/>
  <c r="BD76" i="1"/>
  <c r="BD18" i="1"/>
  <c r="BD133" i="1"/>
  <c r="BD15" i="1"/>
  <c r="BD74" i="1"/>
  <c r="BD13" i="1"/>
  <c r="BD12" i="1"/>
  <c r="BD11" i="1"/>
  <c r="BD114" i="1"/>
  <c r="BD158" i="1"/>
  <c r="BD42" i="1"/>
  <c r="BD149" i="1"/>
  <c r="BD101" i="1"/>
  <c r="BD41" i="1"/>
  <c r="BD87" i="1"/>
  <c r="BD86" i="1"/>
  <c r="BD110" i="1"/>
  <c r="BD93" i="1"/>
  <c r="BD85" i="1"/>
  <c r="BD84" i="1"/>
  <c r="BD53" i="1"/>
  <c r="BD39" i="1"/>
  <c r="BD49" i="1"/>
  <c r="BD148" i="1"/>
  <c r="BD52" i="1"/>
  <c r="BD40" i="1"/>
  <c r="BD107" i="1"/>
  <c r="BD109" i="1"/>
  <c r="BD108" i="1"/>
  <c r="BD145" i="1"/>
  <c r="BD37" i="1"/>
  <c r="BD141" i="1"/>
  <c r="BD111" i="1"/>
  <c r="BD5" i="1"/>
  <c r="BD140" i="1"/>
  <c r="BD25" i="1"/>
  <c r="BD138" i="1"/>
  <c r="BD137" i="1"/>
  <c r="AS37" i="1"/>
  <c r="BD9" i="1"/>
  <c r="AS14" i="1"/>
  <c r="BD69" i="1"/>
  <c r="AH15" i="1"/>
  <c r="BD7" i="1"/>
  <c r="J11" i="6"/>
  <c r="B1" i="6"/>
  <c r="B17" i="6"/>
  <c r="B16" i="6"/>
  <c r="B32" i="6"/>
  <c r="B20" i="6"/>
  <c r="B19" i="6"/>
  <c r="B34" i="6"/>
  <c r="B36" i="6"/>
  <c r="B4" i="6"/>
  <c r="B3" i="6"/>
  <c r="B18" i="6"/>
  <c r="B35" i="6"/>
  <c r="B2" i="6"/>
  <c r="B21" i="6"/>
  <c r="B46" i="6"/>
  <c r="B30" i="6"/>
  <c r="B14" i="6"/>
  <c r="B45" i="6"/>
  <c r="B29" i="6"/>
  <c r="B13" i="6"/>
  <c r="B5" i="6"/>
  <c r="B44" i="6"/>
  <c r="B28" i="6"/>
  <c r="B12" i="6"/>
  <c r="B43" i="6"/>
  <c r="B27" i="6"/>
  <c r="B11" i="6"/>
  <c r="B42" i="6"/>
  <c r="B26" i="6"/>
  <c r="B10" i="6"/>
  <c r="B41" i="6"/>
  <c r="B25" i="6"/>
  <c r="B9" i="6"/>
  <c r="B37" i="6"/>
  <c r="B40" i="6"/>
  <c r="B24" i="6"/>
  <c r="B8" i="6"/>
  <c r="B39" i="6"/>
  <c r="B23" i="6"/>
  <c r="B7" i="6"/>
  <c r="B38" i="6"/>
  <c r="B22" i="6"/>
  <c r="B6" i="6"/>
  <c r="B31" i="6"/>
  <c r="D6" i="6"/>
  <c r="E1" i="6"/>
  <c r="B15" i="6"/>
  <c r="D6" i="5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AA32" i="1"/>
  <c r="AA40" i="1"/>
  <c r="AA47" i="1"/>
  <c r="AA31" i="1"/>
  <c r="AA22" i="1"/>
  <c r="AA43" i="1"/>
  <c r="AA12" i="1"/>
  <c r="AA29" i="1"/>
  <c r="AA38" i="1"/>
  <c r="AA24" i="1"/>
  <c r="AA44" i="1"/>
  <c r="AA11" i="1"/>
  <c r="AA27" i="1"/>
  <c r="AA37" i="1"/>
  <c r="AA14" i="1"/>
  <c r="AA34" i="1"/>
  <c r="AA28" i="1"/>
  <c r="AA25" i="1"/>
  <c r="AA30" i="1"/>
  <c r="AA7" i="1"/>
  <c r="AA23" i="1"/>
  <c r="AA13" i="1"/>
  <c r="AA42" i="1"/>
  <c r="AA8" i="1"/>
  <c r="AA5" i="1"/>
  <c r="AA33" i="1"/>
  <c r="AA15" i="1"/>
  <c r="AA9" i="1"/>
  <c r="AA3" i="1"/>
  <c r="AA10" i="1"/>
  <c r="AA46" i="1"/>
  <c r="AA45" i="1"/>
  <c r="AA4" i="1"/>
  <c r="AA19" i="1"/>
  <c r="AA16" i="1"/>
  <c r="AA39" i="1"/>
  <c r="AA21" i="1"/>
  <c r="AA18" i="1"/>
  <c r="AA41" i="1"/>
  <c r="AA17" i="1"/>
  <c r="AA36" i="1"/>
  <c r="AA20" i="1"/>
  <c r="AA35" i="1"/>
  <c r="AA6" i="1"/>
  <c r="AA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B48" i="6" l="1"/>
  <c r="B49" i="6" s="1"/>
  <c r="D7" i="6"/>
  <c r="D9" i="6" s="1"/>
  <c r="D11" i="6" s="1"/>
  <c r="D12" i="6" s="1"/>
  <c r="P8" i="5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K16" i="1" s="1"/>
  <c r="J5" i="1"/>
  <c r="I5" i="1"/>
  <c r="I16" i="1" s="1"/>
  <c r="G5" i="1"/>
  <c r="K4" i="1"/>
  <c r="J4" i="1"/>
  <c r="I4" i="1"/>
  <c r="G4" i="1"/>
  <c r="K3" i="1"/>
  <c r="J3" i="1"/>
  <c r="I3" i="1"/>
  <c r="G3" i="1"/>
  <c r="K2" i="1"/>
  <c r="J2" i="1"/>
  <c r="AX61" i="1" s="1"/>
  <c r="I2" i="1"/>
  <c r="G2" i="1"/>
  <c r="K1" i="1"/>
  <c r="J1" i="1"/>
  <c r="I1" i="1"/>
  <c r="G1" i="1"/>
  <c r="H9" i="1"/>
  <c r="H8" i="1"/>
  <c r="H7" i="1"/>
  <c r="H6" i="1"/>
  <c r="H5" i="1"/>
  <c r="H16" i="1" s="1"/>
  <c r="H4" i="1"/>
  <c r="H3" i="1"/>
  <c r="H2" i="1"/>
  <c r="H1" i="1"/>
  <c r="AX49" i="1" l="1"/>
  <c r="AX5" i="1"/>
  <c r="AX25" i="1"/>
  <c r="AX31" i="1"/>
  <c r="AX43" i="1"/>
  <c r="AX7" i="1"/>
  <c r="AX51" i="1"/>
  <c r="AX57" i="1"/>
  <c r="AX12" i="1"/>
  <c r="AX3" i="1"/>
  <c r="AX48" i="1"/>
  <c r="AX16" i="1"/>
  <c r="AX24" i="1"/>
  <c r="AX34" i="1"/>
  <c r="AX17" i="1"/>
  <c r="AX20" i="1"/>
  <c r="AX42" i="1"/>
  <c r="AX63" i="1"/>
  <c r="AX45" i="1"/>
  <c r="AX9" i="1"/>
  <c r="AX29" i="1"/>
  <c r="AX39" i="1"/>
  <c r="AX60" i="1"/>
  <c r="AX55" i="1"/>
  <c r="AX8" i="1"/>
  <c r="AX13" i="1"/>
  <c r="AX56" i="1"/>
  <c r="AW47" i="1"/>
  <c r="AW58" i="1"/>
  <c r="AW34" i="1"/>
  <c r="AW22" i="1"/>
  <c r="AW10" i="1"/>
  <c r="AW32" i="1"/>
  <c r="AW55" i="1"/>
  <c r="AW43" i="1"/>
  <c r="AW31" i="1"/>
  <c r="AW19" i="1"/>
  <c r="AW7" i="1"/>
  <c r="AW63" i="1"/>
  <c r="AW51" i="1"/>
  <c r="AW39" i="1"/>
  <c r="AW27" i="1"/>
  <c r="AW15" i="1"/>
  <c r="AW3" i="1"/>
  <c r="AW60" i="1"/>
  <c r="AW48" i="1"/>
  <c r="AW36" i="1"/>
  <c r="AW24" i="1"/>
  <c r="AW12" i="1"/>
  <c r="AW62" i="1"/>
  <c r="AW50" i="1"/>
  <c r="AW38" i="1"/>
  <c r="AW26" i="1"/>
  <c r="AW14" i="1"/>
  <c r="AW2" i="1"/>
  <c r="AW46" i="1"/>
  <c r="AW44" i="1"/>
  <c r="AW20" i="1"/>
  <c r="AW8" i="1"/>
  <c r="AW54" i="1"/>
  <c r="AW42" i="1"/>
  <c r="AW30" i="1"/>
  <c r="AW18" i="1"/>
  <c r="AW6" i="1"/>
  <c r="AW35" i="1"/>
  <c r="AW40" i="1"/>
  <c r="AW61" i="1"/>
  <c r="AW49" i="1"/>
  <c r="AW37" i="1"/>
  <c r="AW25" i="1"/>
  <c r="AW13" i="1"/>
  <c r="AW59" i="1"/>
  <c r="AW23" i="1"/>
  <c r="AW11" i="1"/>
  <c r="AW52" i="1"/>
  <c r="AW28" i="1"/>
  <c r="AW16" i="1"/>
  <c r="AW4" i="1"/>
  <c r="AW57" i="1"/>
  <c r="AW45" i="1"/>
  <c r="AW33" i="1"/>
  <c r="AW21" i="1"/>
  <c r="AW9" i="1"/>
  <c r="AW56" i="1"/>
  <c r="AW53" i="1"/>
  <c r="AW41" i="1"/>
  <c r="AW29" i="1"/>
  <c r="AW17" i="1"/>
  <c r="AW5" i="1"/>
  <c r="AX50" i="1"/>
  <c r="AX38" i="1"/>
  <c r="AX22" i="1"/>
  <c r="AX35" i="1"/>
  <c r="AX58" i="1"/>
  <c r="AX47" i="1"/>
  <c r="AX33" i="1"/>
  <c r="AX4" i="1"/>
  <c r="AX21" i="1"/>
  <c r="AX28" i="1"/>
  <c r="AX18" i="1"/>
  <c r="AX36" i="1"/>
  <c r="AX32" i="1"/>
  <c r="AX59" i="1"/>
  <c r="AX52" i="1"/>
  <c r="AX27" i="1"/>
  <c r="AX26" i="1"/>
  <c r="AX2" i="1"/>
  <c r="AX19" i="1"/>
  <c r="AX30" i="1"/>
  <c r="AX40" i="1"/>
  <c r="AX11" i="1"/>
  <c r="AX15" i="1"/>
  <c r="AX53" i="1"/>
  <c r="AX41" i="1"/>
  <c r="AX10" i="1"/>
  <c r="AX23" i="1"/>
  <c r="AX44" i="1"/>
  <c r="AX62" i="1"/>
  <c r="AX14" i="1"/>
  <c r="AX37" i="1"/>
  <c r="AX6" i="1"/>
  <c r="AX54" i="1"/>
  <c r="AX46" i="1"/>
  <c r="AM21" i="1"/>
  <c r="AL17" i="1"/>
  <c r="AM20" i="1"/>
  <c r="AL16" i="1"/>
  <c r="AM12" i="1"/>
  <c r="AL8" i="1"/>
  <c r="AM19" i="1"/>
  <c r="AL15" i="1"/>
  <c r="AM13" i="1"/>
  <c r="AL9" i="1"/>
  <c r="AM11" i="1"/>
  <c r="AL7" i="1"/>
  <c r="AM18" i="1"/>
  <c r="AL14" i="1"/>
  <c r="AM10" i="1"/>
  <c r="AL6" i="1"/>
  <c r="AM17" i="1"/>
  <c r="AL13" i="1"/>
  <c r="AL19" i="1"/>
  <c r="AM16" i="1"/>
  <c r="AL12" i="1"/>
  <c r="AL21" i="1"/>
  <c r="AM15" i="1"/>
  <c r="AL11" i="1"/>
  <c r="AM4" i="1"/>
  <c r="AL18" i="1"/>
  <c r="AM14" i="1"/>
  <c r="AL10" i="1"/>
  <c r="AM9" i="1"/>
  <c r="AL5" i="1"/>
  <c r="AM6" i="1"/>
  <c r="AL2" i="1"/>
  <c r="AM2" i="1"/>
  <c r="AM8" i="1"/>
  <c r="AL4" i="1"/>
  <c r="AM7" i="1"/>
  <c r="AL3" i="1"/>
  <c r="AM3" i="1"/>
  <c r="AL20" i="1"/>
  <c r="AM5" i="1"/>
  <c r="J16" i="1"/>
  <c r="Z47" i="1"/>
  <c r="Z23" i="1"/>
  <c r="Y45" i="1"/>
  <c r="Y21" i="1"/>
  <c r="Z21" i="1"/>
  <c r="Z44" i="1"/>
  <c r="Z20" i="1"/>
  <c r="Y42" i="1"/>
  <c r="Y18" i="1"/>
  <c r="Z43" i="1"/>
  <c r="Z19" i="1"/>
  <c r="Y41" i="1"/>
  <c r="Y17" i="1"/>
  <c r="Z18" i="1"/>
  <c r="Z46" i="1"/>
  <c r="Z22" i="1"/>
  <c r="Y44" i="1"/>
  <c r="Y20" i="1"/>
  <c r="Z45" i="1"/>
  <c r="Y43" i="1"/>
  <c r="Y19" i="1"/>
  <c r="Z42" i="1"/>
  <c r="Y40" i="1"/>
  <c r="Y16" i="1"/>
  <c r="Z41" i="1"/>
  <c r="Z17" i="1"/>
  <c r="Y39" i="1"/>
  <c r="Y15" i="1"/>
  <c r="Z36" i="1"/>
  <c r="Z12" i="1"/>
  <c r="Y34" i="1"/>
  <c r="Y10" i="1"/>
  <c r="Z29" i="1"/>
  <c r="Z5" i="1"/>
  <c r="Y27" i="1"/>
  <c r="Y3" i="1"/>
  <c r="Z40" i="1"/>
  <c r="Z16" i="1"/>
  <c r="Y38" i="1"/>
  <c r="Y14" i="1"/>
  <c r="Z39" i="1"/>
  <c r="Z15" i="1"/>
  <c r="Y37" i="1"/>
  <c r="Y13" i="1"/>
  <c r="Z38" i="1"/>
  <c r="Z14" i="1"/>
  <c r="Y36" i="1"/>
  <c r="Y12" i="1"/>
  <c r="Z37" i="1"/>
  <c r="Z13" i="1"/>
  <c r="Y35" i="1"/>
  <c r="Y11" i="1"/>
  <c r="Z28" i="1"/>
  <c r="Y26" i="1"/>
  <c r="Y2" i="1"/>
  <c r="Z26" i="1"/>
  <c r="Z2" i="1"/>
  <c r="Y24" i="1"/>
  <c r="Y22" i="1"/>
  <c r="Z27" i="1"/>
  <c r="Z3" i="1"/>
  <c r="Y25" i="1"/>
  <c r="Y47" i="1"/>
  <c r="Z25" i="1"/>
  <c r="Y23" i="1"/>
  <c r="Z35" i="1"/>
  <c r="Z11" i="1"/>
  <c r="Y33" i="1"/>
  <c r="Y9" i="1"/>
  <c r="Z33" i="1"/>
  <c r="Z9" i="1"/>
  <c r="Y31" i="1"/>
  <c r="Y7" i="1"/>
  <c r="Z31" i="1"/>
  <c r="Z7" i="1"/>
  <c r="Y29" i="1"/>
  <c r="Y5" i="1"/>
  <c r="Z30" i="1"/>
  <c r="Z6" i="1"/>
  <c r="Y28" i="1"/>
  <c r="Y4" i="1"/>
  <c r="Y46" i="1"/>
  <c r="Z34" i="1"/>
  <c r="Z10" i="1"/>
  <c r="Y32" i="1"/>
  <c r="Y8" i="1"/>
  <c r="Z32" i="1"/>
  <c r="Z8" i="1"/>
  <c r="Y30" i="1"/>
  <c r="Y6" i="1"/>
  <c r="Z4" i="1"/>
  <c r="Z24" i="1"/>
  <c r="AN15" i="1"/>
  <c r="AN21" i="1"/>
  <c r="AN20" i="1"/>
  <c r="AN16" i="1"/>
  <c r="AN13" i="1"/>
  <c r="AO13" i="1" s="1"/>
  <c r="AN7" i="1"/>
  <c r="AN6" i="1"/>
  <c r="AN11" i="1"/>
  <c r="AN10" i="1"/>
  <c r="AN9" i="1"/>
  <c r="AN18" i="1"/>
  <c r="AN17" i="1"/>
  <c r="AN19" i="1"/>
  <c r="AO19" i="1" s="1"/>
  <c r="AN14" i="1"/>
  <c r="AN12" i="1"/>
  <c r="AN8" i="1"/>
  <c r="AN4" i="1"/>
  <c r="AN5" i="1"/>
  <c r="AN3" i="1"/>
  <c r="AN2" i="1"/>
  <c r="J14" i="1"/>
  <c r="AT60" i="1"/>
  <c r="AT36" i="1"/>
  <c r="AT12" i="1"/>
  <c r="AT56" i="1"/>
  <c r="AT23" i="1"/>
  <c r="AT55" i="1"/>
  <c r="AT22" i="1"/>
  <c r="AT54" i="1"/>
  <c r="AT21" i="1"/>
  <c r="J13" i="1"/>
  <c r="AT53" i="1"/>
  <c r="AT20" i="1"/>
  <c r="AT49" i="1"/>
  <c r="AT15" i="1"/>
  <c r="AT48" i="1"/>
  <c r="AT14" i="1"/>
  <c r="AT47" i="1"/>
  <c r="AT11" i="1"/>
  <c r="AT46" i="1"/>
  <c r="AT10" i="1"/>
  <c r="AT38" i="1"/>
  <c r="AT5" i="1"/>
  <c r="AT35" i="1"/>
  <c r="AT2" i="1"/>
  <c r="AT34" i="1"/>
  <c r="AT33" i="1"/>
  <c r="AT32" i="1"/>
  <c r="AT30" i="1"/>
  <c r="AT31" i="1"/>
  <c r="AT29" i="1"/>
  <c r="AT26" i="1"/>
  <c r="AT25" i="1"/>
  <c r="AT24" i="1"/>
  <c r="AT63" i="1"/>
  <c r="AT62" i="1"/>
  <c r="AT59" i="1"/>
  <c r="AT58" i="1"/>
  <c r="AT9" i="1"/>
  <c r="AT8" i="1"/>
  <c r="AT45" i="1"/>
  <c r="AT19" i="1"/>
  <c r="AT7" i="1"/>
  <c r="AT6" i="1"/>
  <c r="AT39" i="1"/>
  <c r="AT44" i="1"/>
  <c r="AT43" i="1"/>
  <c r="AT50" i="1"/>
  <c r="AT57" i="1"/>
  <c r="AT13" i="1"/>
  <c r="AT37" i="1"/>
  <c r="AT61" i="1"/>
  <c r="AT16" i="1"/>
  <c r="AT27" i="1"/>
  <c r="AT18" i="1"/>
  <c r="AT42" i="1"/>
  <c r="AT51" i="1"/>
  <c r="AT41" i="1"/>
  <c r="AT40" i="1"/>
  <c r="AT17" i="1"/>
  <c r="AT28" i="1"/>
  <c r="AT52" i="1"/>
  <c r="AT3" i="1"/>
  <c r="AT4" i="1"/>
  <c r="AU42" i="1"/>
  <c r="AU18" i="1"/>
  <c r="AU56" i="1"/>
  <c r="AU32" i="1"/>
  <c r="AU8" i="1"/>
  <c r="AU59" i="1"/>
  <c r="AU33" i="1"/>
  <c r="AU6" i="1"/>
  <c r="AU58" i="1"/>
  <c r="AU31" i="1"/>
  <c r="AU5" i="1"/>
  <c r="AU57" i="1"/>
  <c r="AU30" i="1"/>
  <c r="AU4" i="1"/>
  <c r="AU55" i="1"/>
  <c r="AU29" i="1"/>
  <c r="AU3" i="1"/>
  <c r="AU53" i="1"/>
  <c r="AU27" i="1"/>
  <c r="AU52" i="1"/>
  <c r="AU26" i="1"/>
  <c r="AU51" i="1"/>
  <c r="AU25" i="1"/>
  <c r="AU45" i="1"/>
  <c r="AU19" i="1"/>
  <c r="AU44" i="1"/>
  <c r="AU17" i="1"/>
  <c r="AU34" i="1"/>
  <c r="AU28" i="1"/>
  <c r="AU24" i="1"/>
  <c r="AU23" i="1"/>
  <c r="AU63" i="1"/>
  <c r="AU20" i="1"/>
  <c r="AU62" i="1"/>
  <c r="AU16" i="1"/>
  <c r="AU61" i="1"/>
  <c r="AU15" i="1"/>
  <c r="AU47" i="1"/>
  <c r="AU9" i="1"/>
  <c r="AU46" i="1"/>
  <c r="AU7" i="1"/>
  <c r="AU43" i="1"/>
  <c r="AU2" i="1"/>
  <c r="AU41" i="1"/>
  <c r="AU21" i="1"/>
  <c r="AU60" i="1"/>
  <c r="AU14" i="1"/>
  <c r="AU38" i="1"/>
  <c r="AU22" i="1"/>
  <c r="AU13" i="1"/>
  <c r="AU12" i="1"/>
  <c r="AU11" i="1"/>
  <c r="AU10" i="1"/>
  <c r="AU35" i="1"/>
  <c r="AU37" i="1"/>
  <c r="AU36" i="1"/>
  <c r="AU54" i="1"/>
  <c r="AU50" i="1"/>
  <c r="AU39" i="1"/>
  <c r="AU49" i="1"/>
  <c r="AU48" i="1"/>
  <c r="AU40" i="1"/>
  <c r="V34" i="1"/>
  <c r="V10" i="1"/>
  <c r="V28" i="1"/>
  <c r="V27" i="1"/>
  <c r="V24" i="1"/>
  <c r="V23" i="1"/>
  <c r="H14" i="1"/>
  <c r="V21" i="1"/>
  <c r="H13" i="1"/>
  <c r="V20" i="1"/>
  <c r="V19" i="1"/>
  <c r="V18" i="1"/>
  <c r="V44" i="1"/>
  <c r="V8" i="1"/>
  <c r="V43" i="1"/>
  <c r="V7" i="1"/>
  <c r="V3" i="1"/>
  <c r="V47" i="1"/>
  <c r="V46" i="1"/>
  <c r="V45" i="1"/>
  <c r="V42" i="1"/>
  <c r="V41" i="1"/>
  <c r="V30" i="1"/>
  <c r="V29" i="1"/>
  <c r="V22" i="1"/>
  <c r="V17" i="1"/>
  <c r="V4" i="1"/>
  <c r="V13" i="1"/>
  <c r="V9" i="1"/>
  <c r="V6" i="1"/>
  <c r="V5" i="1"/>
  <c r="V12" i="1"/>
  <c r="V37" i="1"/>
  <c r="V31" i="1"/>
  <c r="V36" i="1"/>
  <c r="V33" i="1"/>
  <c r="V32" i="1"/>
  <c r="V35" i="1"/>
  <c r="V14" i="1"/>
  <c r="V26" i="1"/>
  <c r="V40" i="1"/>
  <c r="V38" i="1"/>
  <c r="V25" i="1"/>
  <c r="V16" i="1"/>
  <c r="V2" i="1"/>
  <c r="V15" i="1"/>
  <c r="V39" i="1"/>
  <c r="V11" i="1"/>
  <c r="K14" i="1"/>
  <c r="BE84" i="1"/>
  <c r="BE53" i="1"/>
  <c r="BE17" i="1"/>
  <c r="BE35" i="1"/>
  <c r="BE34" i="1"/>
  <c r="BE83" i="1"/>
  <c r="BE33" i="1"/>
  <c r="BE81" i="1"/>
  <c r="BE31" i="1"/>
  <c r="BE82" i="1"/>
  <c r="BE32" i="1"/>
  <c r="BE80" i="1"/>
  <c r="BE21" i="1"/>
  <c r="BE77" i="1"/>
  <c r="BE16" i="1"/>
  <c r="BE73" i="1"/>
  <c r="BE15" i="1"/>
  <c r="BE72" i="1"/>
  <c r="BE12" i="1"/>
  <c r="BE64" i="1"/>
  <c r="BE57" i="1"/>
  <c r="BE49" i="1"/>
  <c r="BE48" i="1"/>
  <c r="BE69" i="1"/>
  <c r="BE68" i="1"/>
  <c r="BE67" i="1"/>
  <c r="BE66" i="1"/>
  <c r="BE44" i="1"/>
  <c r="BE36" i="1"/>
  <c r="BE65" i="1"/>
  <c r="BE45" i="1"/>
  <c r="BE40" i="1"/>
  <c r="BE11" i="1"/>
  <c r="BE41" i="1"/>
  <c r="BE39" i="1"/>
  <c r="BE8" i="1"/>
  <c r="BE7" i="1"/>
  <c r="BE6" i="1"/>
  <c r="BE5" i="1"/>
  <c r="BE52" i="1"/>
  <c r="BE13" i="1"/>
  <c r="BE28" i="1"/>
  <c r="BE19" i="1"/>
  <c r="BE55" i="1"/>
  <c r="BE75" i="1"/>
  <c r="BE20" i="1"/>
  <c r="BE51" i="1"/>
  <c r="BE27" i="1"/>
  <c r="BE24" i="1"/>
  <c r="BE54" i="1"/>
  <c r="BE3" i="1"/>
  <c r="BE58" i="1"/>
  <c r="BE25" i="1"/>
  <c r="BE59" i="1"/>
  <c r="BE78" i="1"/>
  <c r="BE26" i="1"/>
  <c r="BE29" i="1"/>
  <c r="BE43" i="1"/>
  <c r="BE47" i="1"/>
  <c r="BE23" i="1"/>
  <c r="BE70" i="1"/>
  <c r="BE62" i="1"/>
  <c r="BE14" i="1"/>
  <c r="BE61" i="1"/>
  <c r="BE37" i="1"/>
  <c r="BE4" i="1"/>
  <c r="BE56" i="1"/>
  <c r="BE42" i="1"/>
  <c r="BE2" i="1"/>
  <c r="BE30" i="1"/>
  <c r="BE50" i="1"/>
  <c r="BE10" i="1"/>
  <c r="BE60" i="1"/>
  <c r="BE79" i="1"/>
  <c r="BE86" i="1"/>
  <c r="BE38" i="1"/>
  <c r="BE9" i="1"/>
  <c r="BE74" i="1"/>
  <c r="K13" i="1"/>
  <c r="BE71" i="1"/>
  <c r="BE63" i="1"/>
  <c r="BE46" i="1"/>
  <c r="BE22" i="1"/>
  <c r="BE85" i="1"/>
  <c r="BE18" i="1"/>
  <c r="BE76" i="1"/>
  <c r="I14" i="1"/>
  <c r="AI8" i="1"/>
  <c r="AI7" i="1"/>
  <c r="AI6" i="1"/>
  <c r="AI5" i="1"/>
  <c r="AI4" i="1"/>
  <c r="AI2" i="1"/>
  <c r="I13" i="1"/>
  <c r="AI21" i="1"/>
  <c r="AI20" i="1"/>
  <c r="AI19" i="1"/>
  <c r="AI18" i="1"/>
  <c r="AI17" i="1"/>
  <c r="AI11" i="1"/>
  <c r="AI16" i="1"/>
  <c r="AI15" i="1"/>
  <c r="AI3" i="1"/>
  <c r="AI10" i="1"/>
  <c r="AI9" i="1"/>
  <c r="AI13" i="1"/>
  <c r="AI14" i="1"/>
  <c r="AI12" i="1"/>
  <c r="AY61" i="1"/>
  <c r="AY37" i="1"/>
  <c r="AY13" i="1"/>
  <c r="AY51" i="1"/>
  <c r="AY27" i="1"/>
  <c r="AY3" i="1"/>
  <c r="AY39" i="1"/>
  <c r="AY12" i="1"/>
  <c r="AY38" i="1"/>
  <c r="AY11" i="1"/>
  <c r="AY63" i="1"/>
  <c r="AY36" i="1"/>
  <c r="AY10" i="1"/>
  <c r="AZ10" i="1" s="1"/>
  <c r="AY62" i="1"/>
  <c r="AY35" i="1"/>
  <c r="AY9" i="1"/>
  <c r="AY59" i="1"/>
  <c r="AY33" i="1"/>
  <c r="AY7" i="1"/>
  <c r="AY58" i="1"/>
  <c r="AY32" i="1"/>
  <c r="AY6" i="1"/>
  <c r="AY57" i="1"/>
  <c r="AY31" i="1"/>
  <c r="AY5" i="1"/>
  <c r="AY56" i="1"/>
  <c r="AY30" i="1"/>
  <c r="AY4" i="1"/>
  <c r="AY50" i="1"/>
  <c r="AY24" i="1"/>
  <c r="AY49" i="1"/>
  <c r="AY23" i="1"/>
  <c r="AY41" i="1"/>
  <c r="AY40" i="1"/>
  <c r="AY34" i="1"/>
  <c r="AY29" i="1"/>
  <c r="AY25" i="1"/>
  <c r="AZ25" i="1" s="1"/>
  <c r="AY22" i="1"/>
  <c r="AY21" i="1"/>
  <c r="AY54" i="1"/>
  <c r="AY15" i="1"/>
  <c r="AY53" i="1"/>
  <c r="AY14" i="1"/>
  <c r="AY52" i="1"/>
  <c r="AY8" i="1"/>
  <c r="AY48" i="1"/>
  <c r="AY2" i="1"/>
  <c r="AY60" i="1"/>
  <c r="AY18" i="1"/>
  <c r="AY55" i="1"/>
  <c r="AY47" i="1"/>
  <c r="AY46" i="1"/>
  <c r="AY45" i="1"/>
  <c r="AY42" i="1"/>
  <c r="AY19" i="1"/>
  <c r="AY44" i="1"/>
  <c r="AY43" i="1"/>
  <c r="AY26" i="1"/>
  <c r="AY28" i="1"/>
  <c r="AY20" i="1"/>
  <c r="AZ20" i="1" s="1"/>
  <c r="AY17" i="1"/>
  <c r="AZ17" i="1" s="1"/>
  <c r="AY16" i="1"/>
  <c r="AJ8" i="1"/>
  <c r="AJ12" i="1"/>
  <c r="AJ11" i="1"/>
  <c r="AJ6" i="1"/>
  <c r="AJ4" i="1"/>
  <c r="AJ5" i="1"/>
  <c r="AJ3" i="1"/>
  <c r="AJ2" i="1"/>
  <c r="AJ19" i="1"/>
  <c r="AJ18" i="1"/>
  <c r="AJ17" i="1"/>
  <c r="AJ7" i="1"/>
  <c r="AJ14" i="1"/>
  <c r="AJ15" i="1"/>
  <c r="AJ10" i="1"/>
  <c r="AJ9" i="1"/>
  <c r="AJ13" i="1"/>
  <c r="AJ16" i="1"/>
  <c r="AJ21" i="1"/>
  <c r="AJ20" i="1"/>
  <c r="BF155" i="1"/>
  <c r="BF131" i="1"/>
  <c r="BF107" i="1"/>
  <c r="BF83" i="1"/>
  <c r="BF59" i="1"/>
  <c r="BF35" i="1"/>
  <c r="BF11" i="1"/>
  <c r="BE144" i="1"/>
  <c r="BE120" i="1"/>
  <c r="BE96" i="1"/>
  <c r="BF154" i="1"/>
  <c r="BF130" i="1"/>
  <c r="BF106" i="1"/>
  <c r="BF82" i="1"/>
  <c r="BF58" i="1"/>
  <c r="BF34" i="1"/>
  <c r="BF10" i="1"/>
  <c r="BE143" i="1"/>
  <c r="BE119" i="1"/>
  <c r="BE95" i="1"/>
  <c r="BF153" i="1"/>
  <c r="BF129" i="1"/>
  <c r="BF105" i="1"/>
  <c r="BF81" i="1"/>
  <c r="BF57" i="1"/>
  <c r="BF33" i="1"/>
  <c r="BF9" i="1"/>
  <c r="BE142" i="1"/>
  <c r="BE118" i="1"/>
  <c r="BE94" i="1"/>
  <c r="BF150" i="1"/>
  <c r="BF126" i="1"/>
  <c r="BF102" i="1"/>
  <c r="BF78" i="1"/>
  <c r="BF54" i="1"/>
  <c r="BF30" i="1"/>
  <c r="BF6" i="1"/>
  <c r="BE139" i="1"/>
  <c r="BE115" i="1"/>
  <c r="BE91" i="1"/>
  <c r="BF149" i="1"/>
  <c r="BF125" i="1"/>
  <c r="BF101" i="1"/>
  <c r="BF77" i="1"/>
  <c r="BF53" i="1"/>
  <c r="BF141" i="1"/>
  <c r="BF117" i="1"/>
  <c r="BF93" i="1"/>
  <c r="BF69" i="1"/>
  <c r="BF45" i="1"/>
  <c r="BF21" i="1"/>
  <c r="BE154" i="1"/>
  <c r="BE130" i="1"/>
  <c r="BE106" i="1"/>
  <c r="BF140" i="1"/>
  <c r="BF116" i="1"/>
  <c r="BF92" i="1"/>
  <c r="BF68" i="1"/>
  <c r="BF44" i="1"/>
  <c r="BF20" i="1"/>
  <c r="BE153" i="1"/>
  <c r="BE129" i="1"/>
  <c r="BE105" i="1"/>
  <c r="BF133" i="1"/>
  <c r="BF97" i="1"/>
  <c r="BF64" i="1"/>
  <c r="BF29" i="1"/>
  <c r="BE156" i="1"/>
  <c r="BE124" i="1"/>
  <c r="BE90" i="1"/>
  <c r="BF132" i="1"/>
  <c r="BF96" i="1"/>
  <c r="BF63" i="1"/>
  <c r="BF28" i="1"/>
  <c r="BE155" i="1"/>
  <c r="BE123" i="1"/>
  <c r="BE89" i="1"/>
  <c r="BF128" i="1"/>
  <c r="BF95" i="1"/>
  <c r="BF62" i="1"/>
  <c r="BF27" i="1"/>
  <c r="BE152" i="1"/>
  <c r="BE122" i="1"/>
  <c r="BE88" i="1"/>
  <c r="BF127" i="1"/>
  <c r="BF94" i="1"/>
  <c r="BF61" i="1"/>
  <c r="BF26" i="1"/>
  <c r="BE151" i="1"/>
  <c r="BE121" i="1"/>
  <c r="BE87" i="1"/>
  <c r="BF123" i="1"/>
  <c r="BF90" i="1"/>
  <c r="BF56" i="1"/>
  <c r="BF24" i="1"/>
  <c r="BE149" i="1"/>
  <c r="BE116" i="1"/>
  <c r="BF158" i="1"/>
  <c r="BF122" i="1"/>
  <c r="BF89" i="1"/>
  <c r="BF55" i="1"/>
  <c r="BF23" i="1"/>
  <c r="BE148" i="1"/>
  <c r="BE114" i="1"/>
  <c r="BF157" i="1"/>
  <c r="BF121" i="1"/>
  <c r="BF88" i="1"/>
  <c r="BF52" i="1"/>
  <c r="BF22" i="1"/>
  <c r="BE147" i="1"/>
  <c r="BE113" i="1"/>
  <c r="BF156" i="1"/>
  <c r="BF120" i="1"/>
  <c r="BF87" i="1"/>
  <c r="BF51" i="1"/>
  <c r="BF19" i="1"/>
  <c r="BE146" i="1"/>
  <c r="BE112" i="1"/>
  <c r="BF146" i="1"/>
  <c r="BF113" i="1"/>
  <c r="BF79" i="1"/>
  <c r="BF46" i="1"/>
  <c r="BF14" i="1"/>
  <c r="BE137" i="1"/>
  <c r="BE107" i="1"/>
  <c r="BF145" i="1"/>
  <c r="BF112" i="1"/>
  <c r="BF76" i="1"/>
  <c r="BF43" i="1"/>
  <c r="BF13" i="1"/>
  <c r="BE136" i="1"/>
  <c r="BE104" i="1"/>
  <c r="BF135" i="1"/>
  <c r="BF72" i="1"/>
  <c r="BF15" i="1"/>
  <c r="BE117" i="1"/>
  <c r="BF134" i="1"/>
  <c r="BF71" i="1"/>
  <c r="BF12" i="1"/>
  <c r="BE111" i="1"/>
  <c r="BF124" i="1"/>
  <c r="BF70" i="1"/>
  <c r="BF8" i="1"/>
  <c r="BE110" i="1"/>
  <c r="BF119" i="1"/>
  <c r="BF67" i="1"/>
  <c r="BF7" i="1"/>
  <c r="BE109" i="1"/>
  <c r="BF118" i="1"/>
  <c r="BF66" i="1"/>
  <c r="BF5" i="1"/>
  <c r="BE108" i="1"/>
  <c r="BF115" i="1"/>
  <c r="BF65" i="1"/>
  <c r="BF4" i="1"/>
  <c r="BE103" i="1"/>
  <c r="BF114" i="1"/>
  <c r="BF60" i="1"/>
  <c r="BF3" i="1"/>
  <c r="BE102" i="1"/>
  <c r="BF111" i="1"/>
  <c r="BF50" i="1"/>
  <c r="BF2" i="1"/>
  <c r="BE101" i="1"/>
  <c r="BF110" i="1"/>
  <c r="BF49" i="1"/>
  <c r="BE158" i="1"/>
  <c r="BE100" i="1"/>
  <c r="BF151" i="1"/>
  <c r="BF99" i="1"/>
  <c r="BF39" i="1"/>
  <c r="BE138" i="1"/>
  <c r="BF148" i="1"/>
  <c r="BF98" i="1"/>
  <c r="BF38" i="1"/>
  <c r="BE135" i="1"/>
  <c r="BF147" i="1"/>
  <c r="BF91" i="1"/>
  <c r="BF37" i="1"/>
  <c r="BE134" i="1"/>
  <c r="BF144" i="1"/>
  <c r="BF86" i="1"/>
  <c r="BF36" i="1"/>
  <c r="BE133" i="1"/>
  <c r="BF104" i="1"/>
  <c r="BE140" i="1"/>
  <c r="BF103" i="1"/>
  <c r="BE132" i="1"/>
  <c r="BF138" i="1"/>
  <c r="BF16" i="1"/>
  <c r="BF100" i="1"/>
  <c r="BE131" i="1"/>
  <c r="BF136" i="1"/>
  <c r="BF85" i="1"/>
  <c r="BE128" i="1"/>
  <c r="BF84" i="1"/>
  <c r="BE127" i="1"/>
  <c r="BF74" i="1"/>
  <c r="BE99" i="1"/>
  <c r="BF42" i="1"/>
  <c r="BE92" i="1"/>
  <c r="BF80" i="1"/>
  <c r="BE126" i="1"/>
  <c r="BF75" i="1"/>
  <c r="BE125" i="1"/>
  <c r="BF48" i="1"/>
  <c r="BE97" i="1"/>
  <c r="BF41" i="1"/>
  <c r="BF73" i="1"/>
  <c r="BE98" i="1"/>
  <c r="BF47" i="1"/>
  <c r="BE93" i="1"/>
  <c r="BF109" i="1"/>
  <c r="BE145" i="1"/>
  <c r="BF108" i="1"/>
  <c r="BE141" i="1"/>
  <c r="BF137" i="1"/>
  <c r="BE157" i="1"/>
  <c r="BE150" i="1"/>
  <c r="BF40" i="1"/>
  <c r="BF32" i="1"/>
  <c r="BF139" i="1"/>
  <c r="BF17" i="1"/>
  <c r="BF152" i="1"/>
  <c r="BF31" i="1"/>
  <c r="BF143" i="1"/>
  <c r="BF25" i="1"/>
  <c r="BF142" i="1"/>
  <c r="BF18" i="1"/>
  <c r="C47" i="3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AB45" i="1"/>
  <c r="AB29" i="1"/>
  <c r="AB13" i="1"/>
  <c r="AB44" i="1"/>
  <c r="AB28" i="1"/>
  <c r="AB12" i="1"/>
  <c r="AB43" i="1"/>
  <c r="AB27" i="1"/>
  <c r="AB11" i="1"/>
  <c r="AB42" i="1"/>
  <c r="AB26" i="1"/>
  <c r="AB10" i="1"/>
  <c r="AB41" i="1"/>
  <c r="AB25" i="1"/>
  <c r="AB9" i="1"/>
  <c r="AB40" i="1"/>
  <c r="AB24" i="1"/>
  <c r="AB8" i="1"/>
  <c r="AB39" i="1"/>
  <c r="AB23" i="1"/>
  <c r="AB7" i="1"/>
  <c r="AB38" i="1"/>
  <c r="AB22" i="1"/>
  <c r="AB6" i="1"/>
  <c r="AB37" i="1"/>
  <c r="AB21" i="1"/>
  <c r="AB5" i="1"/>
  <c r="AB36" i="1"/>
  <c r="AB20" i="1"/>
  <c r="AB4" i="1"/>
  <c r="AB35" i="1"/>
  <c r="AB19" i="1"/>
  <c r="AB3" i="1"/>
  <c r="AB34" i="1"/>
  <c r="AB18" i="1"/>
  <c r="AB2" i="1"/>
  <c r="AB33" i="1"/>
  <c r="AB17" i="1"/>
  <c r="AB32" i="1"/>
  <c r="AB16" i="1"/>
  <c r="AB47" i="1"/>
  <c r="AB31" i="1"/>
  <c r="AB15" i="1"/>
  <c r="AB46" i="1"/>
  <c r="AB30" i="1"/>
  <c r="AB14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AC40" i="1" l="1"/>
  <c r="AC43" i="1"/>
  <c r="BF159" i="1"/>
  <c r="AZ14" i="1"/>
  <c r="AZ7" i="1"/>
  <c r="AU64" i="1"/>
  <c r="AZ36" i="1"/>
  <c r="AZ51" i="1"/>
  <c r="AZ47" i="1"/>
  <c r="AZ8" i="1"/>
  <c r="AZ53" i="1"/>
  <c r="AZ33" i="1"/>
  <c r="AZ15" i="1"/>
  <c r="AZ59" i="1"/>
  <c r="AZ13" i="1"/>
  <c r="AZ35" i="1"/>
  <c r="AO2" i="1"/>
  <c r="AZ46" i="1"/>
  <c r="AZ30" i="1"/>
  <c r="AZ54" i="1"/>
  <c r="AZ9" i="1"/>
  <c r="AZ21" i="1"/>
  <c r="AZ16" i="1"/>
  <c r="AZ22" i="1"/>
  <c r="AZ62" i="1"/>
  <c r="AO3" i="1"/>
  <c r="AO5" i="1"/>
  <c r="AO4" i="1"/>
  <c r="AO8" i="1"/>
  <c r="AZ29" i="1"/>
  <c r="AZ28" i="1"/>
  <c r="AZ34" i="1"/>
  <c r="AZ63" i="1"/>
  <c r="AZ26" i="1"/>
  <c r="AZ40" i="1"/>
  <c r="AZ11" i="1"/>
  <c r="AO12" i="1"/>
  <c r="AZ43" i="1"/>
  <c r="AZ41" i="1"/>
  <c r="AZ38" i="1"/>
  <c r="AO14" i="1"/>
  <c r="AZ44" i="1"/>
  <c r="AZ23" i="1"/>
  <c r="AZ12" i="1"/>
  <c r="AJ22" i="1"/>
  <c r="AZ19" i="1"/>
  <c r="AZ49" i="1"/>
  <c r="AZ39" i="1"/>
  <c r="AO17" i="1"/>
  <c r="AZ42" i="1"/>
  <c r="AZ24" i="1"/>
  <c r="AZ3" i="1"/>
  <c r="AO18" i="1"/>
  <c r="AZ45" i="1"/>
  <c r="AZ50" i="1"/>
  <c r="AZ27" i="1"/>
  <c r="AO9" i="1"/>
  <c r="AO10" i="1"/>
  <c r="AO11" i="1"/>
  <c r="AO6" i="1"/>
  <c r="AZ18" i="1"/>
  <c r="AZ5" i="1"/>
  <c r="AZ61" i="1"/>
  <c r="AO7" i="1"/>
  <c r="AZ2" i="1"/>
  <c r="AZ57" i="1"/>
  <c r="AO16" i="1"/>
  <c r="AZ4" i="1"/>
  <c r="AZ55" i="1"/>
  <c r="AZ60" i="1"/>
  <c r="AZ31" i="1"/>
  <c r="AZ48" i="1"/>
  <c r="AZ6" i="1"/>
  <c r="AO20" i="1"/>
  <c r="AZ56" i="1"/>
  <c r="AO21" i="1"/>
  <c r="AZ37" i="1"/>
  <c r="AZ32" i="1"/>
  <c r="AZ52" i="1"/>
  <c r="AZ58" i="1"/>
  <c r="AO15" i="1"/>
  <c r="D35" i="3"/>
  <c r="D16" i="3"/>
  <c r="D19" i="3"/>
  <c r="D14" i="3"/>
  <c r="AC19" i="1"/>
  <c r="AC35" i="1"/>
  <c r="AC9" i="1"/>
  <c r="AC25" i="1"/>
  <c r="AC8" i="1"/>
  <c r="AC30" i="1"/>
  <c r="AC20" i="1"/>
  <c r="AC41" i="1"/>
  <c r="AC14" i="1"/>
  <c r="AC46" i="1"/>
  <c r="AC36" i="1"/>
  <c r="AC10" i="1"/>
  <c r="AC4" i="1"/>
  <c r="AC15" i="1"/>
  <c r="AC5" i="1"/>
  <c r="AC26" i="1"/>
  <c r="AC31" i="1"/>
  <c r="AC21" i="1"/>
  <c r="AC42" i="1"/>
  <c r="AC34" i="1"/>
  <c r="AC47" i="1"/>
  <c r="AC37" i="1"/>
  <c r="AC11" i="1"/>
  <c r="AC16" i="1"/>
  <c r="AC6" i="1"/>
  <c r="AC27" i="1"/>
  <c r="AC22" i="1"/>
  <c r="AC17" i="1"/>
  <c r="AC38" i="1"/>
  <c r="AC12" i="1"/>
  <c r="AC32" i="1"/>
  <c r="AC33" i="1"/>
  <c r="AC7" i="1"/>
  <c r="AC28" i="1"/>
  <c r="AC2" i="1"/>
  <c r="AC23" i="1"/>
  <c r="AC44" i="1"/>
  <c r="AC18" i="1"/>
  <c r="AC39" i="1"/>
  <c r="AC13" i="1"/>
  <c r="AC29" i="1"/>
  <c r="AC3" i="1"/>
  <c r="AC24" i="1"/>
  <c r="AC45" i="1"/>
  <c r="W48" i="1"/>
  <c r="X2" i="1" s="1"/>
  <c r="AK10" i="1" l="1"/>
  <c r="AK20" i="1"/>
  <c r="AK18" i="1"/>
  <c r="AK8" i="1"/>
  <c r="AK3" i="1"/>
  <c r="AK2" i="1"/>
  <c r="AK5" i="1"/>
  <c r="AK19" i="1"/>
  <c r="AK17" i="1"/>
  <c r="AK14" i="1"/>
  <c r="AK9" i="1"/>
  <c r="AK7" i="1"/>
  <c r="AK6" i="1"/>
  <c r="AK12" i="1"/>
  <c r="AK11" i="1"/>
  <c r="AK16" i="1"/>
  <c r="AK13" i="1"/>
  <c r="AK4" i="1"/>
  <c r="AK15" i="1"/>
  <c r="AK21" i="1"/>
  <c r="AV53" i="1"/>
  <c r="AV25" i="1"/>
  <c r="AV5" i="1"/>
  <c r="AV36" i="1"/>
  <c r="AV41" i="1"/>
  <c r="AV58" i="1"/>
  <c r="AV40" i="1"/>
  <c r="AV35" i="1"/>
  <c r="AV56" i="1"/>
  <c r="AV21" i="1"/>
  <c r="AV4" i="1"/>
  <c r="AV50" i="1"/>
  <c r="AV39" i="1"/>
  <c r="AV47" i="1"/>
  <c r="AV14" i="1"/>
  <c r="AV52" i="1"/>
  <c r="AV44" i="1"/>
  <c r="AV60" i="1"/>
  <c r="AV32" i="1"/>
  <c r="AV46" i="1"/>
  <c r="AV13" i="1"/>
  <c r="AV57" i="1"/>
  <c r="AV20" i="1"/>
  <c r="AV34" i="1"/>
  <c r="AV38" i="1"/>
  <c r="AV8" i="1"/>
  <c r="AV31" i="1"/>
  <c r="AV63" i="1"/>
  <c r="AV51" i="1"/>
  <c r="AV37" i="1"/>
  <c r="AV30" i="1"/>
  <c r="AV62" i="1"/>
  <c r="AV23" i="1"/>
  <c r="AV27" i="1"/>
  <c r="AV45" i="1"/>
  <c r="AV59" i="1"/>
  <c r="AV3" i="1"/>
  <c r="AV19" i="1"/>
  <c r="AV33" i="1"/>
  <c r="AV24" i="1"/>
  <c r="AV61" i="1"/>
  <c r="AV7" i="1"/>
  <c r="AV29" i="1"/>
  <c r="AV12" i="1"/>
  <c r="AV17" i="1"/>
  <c r="AV43" i="1"/>
  <c r="AV55" i="1"/>
  <c r="AV28" i="1"/>
  <c r="AV10" i="1"/>
  <c r="AV16" i="1"/>
  <c r="AV9" i="1"/>
  <c r="AV18" i="1"/>
  <c r="AV54" i="1"/>
  <c r="AV26" i="1"/>
  <c r="AV11" i="1"/>
  <c r="AV48" i="1"/>
  <c r="AV42" i="1"/>
  <c r="AV6" i="1"/>
  <c r="AV2" i="1"/>
  <c r="AV22" i="1"/>
  <c r="AV15" i="1"/>
  <c r="AV49" i="1"/>
  <c r="BG19" i="1"/>
  <c r="BG75" i="1"/>
  <c r="BG73" i="1"/>
  <c r="BG70" i="1"/>
  <c r="BG147" i="1"/>
  <c r="BG41" i="1"/>
  <c r="BG37" i="1"/>
  <c r="BJ37" i="1" s="1"/>
  <c r="BG34" i="1"/>
  <c r="BG84" i="1"/>
  <c r="BJ84" i="1" s="1"/>
  <c r="BG125" i="1"/>
  <c r="BG53" i="1"/>
  <c r="BG155" i="1"/>
  <c r="BG104" i="1"/>
  <c r="BG131" i="1"/>
  <c r="BG44" i="1"/>
  <c r="BG39" i="1"/>
  <c r="BG89" i="1"/>
  <c r="BG20" i="1"/>
  <c r="BG102" i="1"/>
  <c r="BG133" i="1"/>
  <c r="BJ133" i="1" s="1"/>
  <c r="BG114" i="1"/>
  <c r="BJ114" i="1" s="1"/>
  <c r="BG103" i="1"/>
  <c r="BG22" i="1"/>
  <c r="BG130" i="1"/>
  <c r="BJ130" i="1" s="1"/>
  <c r="BG120" i="1"/>
  <c r="BG28" i="1"/>
  <c r="BG119" i="1"/>
  <c r="BG15" i="1"/>
  <c r="BG56" i="1"/>
  <c r="BG61" i="1"/>
  <c r="BG8" i="1"/>
  <c r="BG4" i="1"/>
  <c r="BG26" i="1"/>
  <c r="BJ26" i="1" s="1"/>
  <c r="BG71" i="1"/>
  <c r="BG109" i="1"/>
  <c r="BG42" i="1"/>
  <c r="BG140" i="1"/>
  <c r="BG135" i="1"/>
  <c r="BG12" i="1"/>
  <c r="BG49" i="1"/>
  <c r="BG111" i="1"/>
  <c r="BG158" i="1"/>
  <c r="BG126" i="1"/>
  <c r="BG98" i="1"/>
  <c r="BG146" i="1"/>
  <c r="BG157" i="1"/>
  <c r="BG86" i="1"/>
  <c r="BG92" i="1"/>
  <c r="BG87" i="1"/>
  <c r="BG156" i="1"/>
  <c r="BG80" i="1"/>
  <c r="BG46" i="1"/>
  <c r="BG153" i="1"/>
  <c r="BG150" i="1"/>
  <c r="BG83" i="1"/>
  <c r="BG16" i="1"/>
  <c r="BG78" i="1"/>
  <c r="BJ78" i="1" s="1"/>
  <c r="BG100" i="1"/>
  <c r="BG29" i="1"/>
  <c r="BG23" i="1"/>
  <c r="BG25" i="1"/>
  <c r="BG52" i="1"/>
  <c r="BG11" i="1"/>
  <c r="BG94" i="1"/>
  <c r="BG21" i="1"/>
  <c r="BG79" i="1"/>
  <c r="BG148" i="1"/>
  <c r="BG54" i="1"/>
  <c r="BG143" i="1"/>
  <c r="BG138" i="1"/>
  <c r="BG66" i="1"/>
  <c r="BG141" i="1"/>
  <c r="BG136" i="1"/>
  <c r="BG30" i="1"/>
  <c r="BG107" i="1"/>
  <c r="BG105" i="1"/>
  <c r="BG33" i="1"/>
  <c r="BG129" i="1"/>
  <c r="BG60" i="1"/>
  <c r="BG117" i="1"/>
  <c r="BG112" i="1"/>
  <c r="BJ112" i="1" s="1"/>
  <c r="BG6" i="1"/>
  <c r="BG74" i="1"/>
  <c r="BG72" i="1"/>
  <c r="BG77" i="1"/>
  <c r="BG48" i="1"/>
  <c r="BG95" i="1"/>
  <c r="BG93" i="1"/>
  <c r="BG88" i="1"/>
  <c r="BG38" i="1"/>
  <c r="BG36" i="1"/>
  <c r="BG14" i="1"/>
  <c r="BG97" i="1"/>
  <c r="BG69" i="1"/>
  <c r="BG64" i="1"/>
  <c r="BG151" i="1"/>
  <c r="BG5" i="1"/>
  <c r="BG3" i="1"/>
  <c r="BG145" i="1"/>
  <c r="BG113" i="1"/>
  <c r="BG96" i="1"/>
  <c r="BG45" i="1"/>
  <c r="BG40" i="1"/>
  <c r="BG127" i="1"/>
  <c r="BG82" i="1"/>
  <c r="BJ82" i="1" s="1"/>
  <c r="BG51" i="1"/>
  <c r="BG47" i="1"/>
  <c r="BG55" i="1"/>
  <c r="BG124" i="1"/>
  <c r="BG85" i="1"/>
  <c r="BG128" i="1"/>
  <c r="BG59" i="1"/>
  <c r="BG154" i="1"/>
  <c r="BG31" i="1"/>
  <c r="BG132" i="1"/>
  <c r="BG27" i="1"/>
  <c r="BG76" i="1"/>
  <c r="BG35" i="1"/>
  <c r="BG122" i="1"/>
  <c r="BG115" i="1"/>
  <c r="BG7" i="1"/>
  <c r="BG99" i="1"/>
  <c r="BG57" i="1"/>
  <c r="BG13" i="1"/>
  <c r="BG110" i="1"/>
  <c r="BG68" i="1"/>
  <c r="BG152" i="1"/>
  <c r="BG118" i="1"/>
  <c r="BG139" i="1"/>
  <c r="BG90" i="1"/>
  <c r="BG9" i="1"/>
  <c r="BG91" i="1"/>
  <c r="BG65" i="1"/>
  <c r="BG24" i="1"/>
  <c r="BG137" i="1"/>
  <c r="BG50" i="1"/>
  <c r="BG67" i="1"/>
  <c r="BG144" i="1"/>
  <c r="BG142" i="1"/>
  <c r="BG134" i="1"/>
  <c r="BG32" i="1"/>
  <c r="BG81" i="1"/>
  <c r="BG58" i="1"/>
  <c r="BG149" i="1"/>
  <c r="BG121" i="1"/>
  <c r="BG116" i="1"/>
  <c r="BG63" i="1"/>
  <c r="BG123" i="1"/>
  <c r="BG17" i="1"/>
  <c r="BG62" i="1"/>
  <c r="BG43" i="1"/>
  <c r="BG108" i="1"/>
  <c r="BG106" i="1"/>
  <c r="BG101" i="1"/>
  <c r="BG18" i="1"/>
  <c r="BG10" i="1"/>
  <c r="BG2" i="1"/>
  <c r="AC48" i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  <c r="BJ70" i="1" l="1"/>
  <c r="BJ73" i="1"/>
  <c r="BJ41" i="1"/>
  <c r="BJ139" i="1"/>
  <c r="BJ102" i="1"/>
  <c r="BJ106" i="1"/>
  <c r="BJ20" i="1"/>
  <c r="BJ117" i="1"/>
  <c r="BJ48" i="1"/>
  <c r="BJ135" i="1"/>
  <c r="BJ2" i="1"/>
  <c r="BJ124" i="1"/>
  <c r="BJ25" i="1"/>
  <c r="BJ10" i="1"/>
  <c r="BJ55" i="1"/>
  <c r="BJ155" i="1"/>
  <c r="BJ24" i="1"/>
  <c r="BJ52" i="1"/>
  <c r="BJ65" i="1"/>
  <c r="BJ140" i="1"/>
  <c r="BJ91" i="1"/>
  <c r="BJ23" i="1"/>
  <c r="BJ18" i="1"/>
  <c r="BJ47" i="1"/>
  <c r="BJ74" i="1"/>
  <c r="BJ29" i="1"/>
  <c r="BJ109" i="1"/>
  <c r="BJ53" i="1"/>
  <c r="BJ85" i="1"/>
  <c r="BJ131" i="1"/>
  <c r="BJ77" i="1"/>
  <c r="BJ104" i="1"/>
  <c r="BJ72" i="1"/>
  <c r="BJ42" i="1"/>
  <c r="BJ9" i="1"/>
  <c r="BJ101" i="1"/>
  <c r="BJ90" i="1"/>
  <c r="BJ51" i="1"/>
  <c r="BJ6" i="1"/>
  <c r="BJ100" i="1"/>
  <c r="BJ71" i="1"/>
  <c r="BJ125" i="1"/>
  <c r="BJ127" i="1"/>
  <c r="BJ43" i="1"/>
  <c r="BJ83" i="1"/>
  <c r="BJ45" i="1"/>
  <c r="BJ17" i="1"/>
  <c r="BJ110" i="1"/>
  <c r="BJ96" i="1"/>
  <c r="BJ33" i="1"/>
  <c r="BJ153" i="1"/>
  <c r="BJ56" i="1"/>
  <c r="BJ147" i="1"/>
  <c r="BJ118" i="1"/>
  <c r="BJ34" i="1"/>
  <c r="BJ40" i="1"/>
  <c r="BJ68" i="1"/>
  <c r="BJ61" i="1"/>
  <c r="BJ113" i="1"/>
  <c r="BJ15" i="1"/>
  <c r="BJ145" i="1"/>
  <c r="BJ80" i="1"/>
  <c r="BJ99" i="1"/>
  <c r="BJ30" i="1"/>
  <c r="BJ75" i="1"/>
  <c r="BJ5" i="1"/>
  <c r="BJ87" i="1"/>
  <c r="BJ19" i="1"/>
  <c r="BJ115" i="1"/>
  <c r="BJ141" i="1"/>
  <c r="BJ122" i="1"/>
  <c r="BJ66" i="1"/>
  <c r="BJ86" i="1"/>
  <c r="BJ81" i="1"/>
  <c r="BJ69" i="1"/>
  <c r="BJ157" i="1"/>
  <c r="BJ32" i="1"/>
  <c r="BJ76" i="1"/>
  <c r="BJ143" i="1"/>
  <c r="BJ134" i="1"/>
  <c r="BJ14" i="1"/>
  <c r="BJ98" i="1"/>
  <c r="BJ36" i="1"/>
  <c r="BJ148" i="1"/>
  <c r="BJ144" i="1"/>
  <c r="BJ38" i="1"/>
  <c r="BJ79" i="1"/>
  <c r="BJ154" i="1"/>
  <c r="BJ88" i="1"/>
  <c r="BJ21" i="1"/>
  <c r="BJ111" i="1"/>
  <c r="BJ89" i="1"/>
  <c r="BJ108" i="1"/>
  <c r="BJ16" i="1"/>
  <c r="BJ152" i="1"/>
  <c r="BJ8" i="1"/>
  <c r="BJ150" i="1"/>
  <c r="BJ123" i="1"/>
  <c r="BJ105" i="1"/>
  <c r="BJ63" i="1"/>
  <c r="BJ119" i="1"/>
  <c r="BJ3" i="1"/>
  <c r="BJ28" i="1"/>
  <c r="BJ121" i="1"/>
  <c r="BJ136" i="1"/>
  <c r="BJ120" i="1"/>
  <c r="BJ149" i="1"/>
  <c r="BJ151" i="1"/>
  <c r="BJ92" i="1"/>
  <c r="BJ58" i="1"/>
  <c r="BJ64" i="1"/>
  <c r="BJ22" i="1"/>
  <c r="BJ35" i="1"/>
  <c r="BJ138" i="1"/>
  <c r="BJ103" i="1"/>
  <c r="BJ97" i="1"/>
  <c r="BJ146" i="1"/>
  <c r="BJ27" i="1"/>
  <c r="BJ54" i="1"/>
  <c r="BJ142" i="1"/>
  <c r="BJ132" i="1"/>
  <c r="BJ126" i="1"/>
  <c r="BJ31" i="1"/>
  <c r="BJ158" i="1"/>
  <c r="BJ67" i="1"/>
  <c r="BJ50" i="1"/>
  <c r="BJ59" i="1"/>
  <c r="BJ93" i="1"/>
  <c r="BJ94" i="1"/>
  <c r="BJ49" i="1"/>
  <c r="BJ39" i="1"/>
  <c r="BJ4" i="1"/>
  <c r="BJ60" i="1"/>
  <c r="BJ62" i="1"/>
  <c r="BJ129" i="1"/>
  <c r="BJ13" i="1"/>
  <c r="BJ46" i="1"/>
  <c r="BJ57" i="1"/>
  <c r="BJ107" i="1"/>
  <c r="BJ116" i="1"/>
  <c r="BJ156" i="1"/>
  <c r="BJ7" i="1"/>
  <c r="BJ137" i="1"/>
  <c r="BJ128" i="1"/>
  <c r="BJ95" i="1"/>
  <c r="BJ11" i="1"/>
  <c r="BJ12" i="1"/>
  <c r="BJ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<sst xmlns="http://schemas.openxmlformats.org/spreadsheetml/2006/main" count="29" uniqueCount="15">
  <si>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</si>
  <si>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</si>
  <si>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</si>
  <si>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</si>
  <si>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</si>
  <si>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</si>
  <si>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</si>
  <si>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</si>
  <si>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</si>
  <si>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</si>
  <si>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</si>
  <si>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</si>
  <si>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</si>
  <si>
    <t>Sn</t>
    <phoneticPr fontId="18" type="noConversion"/>
  </si>
  <si>
    <t>Qn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</si>
</sst>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J24008"/>
  <sheetViews>
    <sheetView tabSelected="1" workbookViewId="0">
      <selection activeCell="H22" sqref="H22"/>
    </sheetView>
  </sheetViews>
  <sheetFormatPr defaultRowHeight="16.5" x14ac:dyDescent="0.25"/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F1" t="s">
        <v>8</v>
      </c>
      <c r="AH1" t="s">
        <v>6</v>
      </c>
      <c r="AI1" t="s">
        <v>5</v>
      </c>
      <c r="AL1" t="s">
        <v>13</v>
      </c>
      <c r="AM1" t="s">
        <v>14</v>
      </c>
      <c r="AQ1" t="s">
        <v>3</v>
      </c>
      <c r="AS1" t="s">
        <v>6</v>
      </c>
      <c r="AT1" t="s">
        <v>5</v>
      </c>
      <c r="AW1" t="s">
        <v>13</v>
      </c>
      <c r="AX1" t="s">
        <v>14</v>
      </c>
      <c r="BB1" t="s">
        <v>4</v>
      </c>
      <c r="BD1" t="s">
        <v>6</v>
      </c>
      <c r="BE1" t="s">
        <v>5</v>
      </c>
      <c r="BH1" t="s">
        <v>13</v>
      </c>
      <c r="BI1" t="s">
        <v>14</v>
      </c>
    </row>
    <row r="2" spans="1:62" x14ac:dyDescent="0.25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 t="shared" ref="T2:T47" si="5">COUNTIFS(B:B,"=" &amp; S2)</f>
        <v>2461</v>
      </c>
      <c r="U2">
        <f t="shared" ref="U2:U47" si="6">T2/$T$48</f>
        <v>0.24289380181602843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(S2-$H$2)/2.3852</f>
        <v>-0.83850410867013236</v>
      </c>
      <c r="Z2">
        <f>(S2-$H$2)/6.65742</f>
        <v>-0.3004166779322921</v>
      </c>
      <c r="AA2">
        <f>COUNTIFS(T2:T47,"&gt;=" &amp; T2)/46</f>
        <v>8.6956521739130432E-2</v>
      </c>
      <c r="AB2">
        <f>(S2-$H$1)/$H$6</f>
        <v>-0.86357149179183745</v>
      </c>
      <c r="AC2">
        <f>COUNTIFS(AB:AB,"&gt;=" &amp; AB2)/46</f>
        <v>1</v>
      </c>
      <c r="AF2">
        <v>0</v>
      </c>
      <c r="AG2">
        <f>COUNTIFS(C:C,"=" &amp; AF2)</f>
        <v>330</v>
      </c>
      <c r="AH2">
        <f>AG2/$AG$22</f>
        <v>4.9107142857142856E-2</v>
      </c>
      <c r="AI2">
        <f>MAX(0,(AF2-$I$11)/$I$7)</f>
        <v>0</v>
      </c>
      <c r="AJ2">
        <f>ABS(AF2-$I$2)</f>
        <v>3</v>
      </c>
      <c r="AK2">
        <f>0.6745*(AF2-$I$2)/$AJ$22</f>
        <v>-0.26979999999999998</v>
      </c>
      <c r="AL2">
        <f>(AF2-$I$2)/1.1926</f>
        <v>-2.5155123260103971</v>
      </c>
      <c r="AM2">
        <f>0.6745*(AF2-$I$2)/2.21914</f>
        <v>-0.91183972169398952</v>
      </c>
      <c r="AN2">
        <f>(AF2-$I$1)/$I$6</f>
        <v>-1.6281254028821375</v>
      </c>
      <c r="AO2">
        <f>COUNTIFS(AN:AN,"&gt;=" &amp; AN2)/20</f>
        <v>1</v>
      </c>
      <c r="AQ2">
        <v>0</v>
      </c>
      <c r="AR2">
        <f>COUNTIFS(D:D,"=" &amp; AQ2)</f>
        <v>51</v>
      </c>
      <c r="AS2">
        <f>AR2/$AR$64</f>
        <v>4.3776824034334763E-2</v>
      </c>
      <c r="AT2">
        <f>MAX(0,(AQ2-$J$11)/$J$7)</f>
        <v>0</v>
      </c>
      <c r="AU2">
        <f>ABS(AQ2-$J$2)</f>
        <v>23</v>
      </c>
      <c r="AV2">
        <f>0.6745*(AQ2-$J$2)/$AU$64</f>
        <v>-0.5641272727272727</v>
      </c>
      <c r="AW2">
        <f>0.6745*(AQ2-$J$2)/14.3112</f>
        <v>-1.0840111241545085</v>
      </c>
      <c r="AX2">
        <f>0.6745*(AS2-$J$2)/15.53398</f>
        <v>-0.99678076913893543</v>
      </c>
      <c r="AY2">
        <f>(AQ2-$J$1)/$J$6</f>
        <v>-1.7670852948659672</v>
      </c>
      <c r="AZ2">
        <f>COUNTIFS(AY:AY,"&gt;=" &amp; AY2)/62</f>
        <v>1</v>
      </c>
      <c r="BB2">
        <v>0</v>
      </c>
      <c r="BC2">
        <f>COUNTIFS(E:E,"=" &amp; BB2)</f>
        <v>8</v>
      </c>
      <c r="BD2">
        <f>BC2/$BC$159</f>
        <v>1.4414414414414415E-2</v>
      </c>
      <c r="BE2">
        <f>MAX(0,(BB2-$K$11)/$K$7)</f>
        <v>0</v>
      </c>
      <c r="BF2">
        <f>ABS(BB2-$K$2)</f>
        <v>38</v>
      </c>
      <c r="BG2">
        <f>0.6745*(BB2-$K$2)/$BF$159</f>
        <v>-0.64077499999999998</v>
      </c>
      <c r="BH2">
        <f>(BB2-$K$2)/25.0446</f>
        <v>-1.5172931490221446</v>
      </c>
      <c r="BI2">
        <f>(BB2-$K$2)/24.4105</f>
        <v>-1.5567071547080151</v>
      </c>
      <c r="BJ2">
        <f>COUNTIFS(BG:BG,"&gt;=" &amp; BG2)/157</f>
        <v>1</v>
      </c>
    </row>
    <row r="3" spans="1:62" x14ac:dyDescent="0.25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7">MODE(A:A)</f>
        <v>44</v>
      </c>
      <c r="H3">
        <f>MODE(B:B)</f>
        <v>2</v>
      </c>
      <c r="I3">
        <f t="shared" ref="I3:K3" si="8">MODE(C:C)</f>
        <v>2</v>
      </c>
      <c r="J3">
        <f t="shared" si="8"/>
        <v>17</v>
      </c>
      <c r="K3">
        <f t="shared" si="8"/>
        <v>31</v>
      </c>
      <c r="N3">
        <f>CORREL($C:$C,B:B)</f>
        <v>0.20763166170223171</v>
      </c>
      <c r="O3">
        <f t="shared" ref="O3:Q3" si="9">CORREL($C:$C,C:C)</f>
        <v>1</v>
      </c>
      <c r="P3">
        <f t="shared" si="9"/>
        <v>0.7350018997570853</v>
      </c>
      <c r="Q3">
        <f t="shared" si="9"/>
        <v>0.59237894258516188</v>
      </c>
      <c r="S3">
        <v>2</v>
      </c>
      <c r="T3">
        <f t="shared" si="5"/>
        <v>10132</v>
      </c>
      <c r="U3">
        <f t="shared" si="6"/>
        <v>1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(S3-$H$2)/2.3852</f>
        <v>0</v>
      </c>
      <c r="Z3">
        <f t="shared" ref="Z3:Z47" si="14">(S3-$H$2)/6.65742</f>
        <v>0</v>
      </c>
      <c r="AA3">
        <f t="shared" ref="AA3:AA47" si="15">COUNTIFS(T3:T48,"&gt;=" &amp; T3)/46</f>
        <v>4.3478260869565216E-2</v>
      </c>
      <c r="AB3">
        <f t="shared" ref="AB3:AB47" si="16">(S3-$H$1)/$H$6</f>
        <v>-0.49657271672639858</v>
      </c>
      <c r="AC3">
        <f t="shared" ref="AC3:AC47" si="17">COUNTIFS(AB:AB,"&gt;=" &amp; AB3)/46</f>
        <v>0.97826086956521741</v>
      </c>
      <c r="AF3">
        <v>1</v>
      </c>
      <c r="AG3">
        <f t="shared" ref="AG3:AG21" si="18">COUNTIFS(C:C,"=" &amp; AF3)</f>
        <v>4071</v>
      </c>
      <c r="AH3">
        <f t="shared" ref="AH3:AH21" si="19">AG3/$AG$22</f>
        <v>0.60580357142857144</v>
      </c>
      <c r="AI3">
        <f t="shared" ref="AI3:AI21" si="20">MAX(0,(AF3-$I$11)/$I$7)</f>
        <v>0</v>
      </c>
      <c r="AJ3">
        <f t="shared" ref="AJ3:AJ21" si="21">ABS(AF3-$I$2)</f>
        <v>2</v>
      </c>
      <c r="AK3">
        <f t="shared" ref="AK3:AK21" si="22">0.6745*(AF3-$I$2)/$AJ$22</f>
        <v>-0.17986666666666667</v>
      </c>
      <c r="AL3">
        <f t="shared" ref="AL3:AL21" si="23">(AF3-$I$2)/1.1926</f>
        <v>-1.6770082173402647</v>
      </c>
      <c r="AM3">
        <f t="shared" ref="AM3:AM21" si="24">0.6745*(AF3-$I$2)/2.21914</f>
        <v>-0.60789314779599302</v>
      </c>
      <c r="AN3">
        <f t="shared" ref="AN3:AN21" si="25">(AF3-$I$1)/$I$6</f>
        <v>-1.1037501557364624</v>
      </c>
      <c r="AO3">
        <f t="shared" ref="AO3:AO21" si="26">COUNTIFS(AN:AN,"&gt;=" &amp; AN3)/20</f>
        <v>0.95</v>
      </c>
      <c r="AQ3">
        <v>2</v>
      </c>
      <c r="AR3">
        <f t="shared" ref="AR3:AR63" si="27">COUNTIFS(D:D,"=" &amp; AQ3)</f>
        <v>333</v>
      </c>
      <c r="AS3">
        <f t="shared" ref="AS3:AS63" si="28">AR3/$AR$64</f>
        <v>0.28583690987124466</v>
      </c>
      <c r="AT3">
        <f t="shared" ref="AT3:AT63" si="29">MAX(0,(AQ3-$J$11)/$J$7)</f>
        <v>0</v>
      </c>
      <c r="AU3">
        <f t="shared" ref="AU3:AU63" si="30">ABS(AQ3-$J$2)</f>
        <v>21</v>
      </c>
      <c r="AV3">
        <f t="shared" ref="AV3:AV63" si="31">0.6745*(AQ3-$J$2)/$AU$64</f>
        <v>-0.51507272727272724</v>
      </c>
      <c r="AW3">
        <f t="shared" ref="AW3:AW63" si="32">0.6745*(AQ3-$J$2)/14.3112</f>
        <v>-0.98974928727150768</v>
      </c>
      <c r="AX3">
        <f t="shared" ref="AX3:AX63" si="33">0.6745*(AS3-$J$2)/15.53398</f>
        <v>-0.98627029288642365</v>
      </c>
      <c r="AY3">
        <f t="shared" ref="AY3:AY63" si="34">(AQ3-$J$1)/$J$6</f>
        <v>-1.6309460547766657</v>
      </c>
      <c r="AZ3">
        <f t="shared" ref="AZ3:AZ63" si="35">COUNTIFS(AY:AY,"&gt;=" &amp; AY3)/62</f>
        <v>0.9838709677419355</v>
      </c>
      <c r="BB3">
        <v>1</v>
      </c>
      <c r="BC3">
        <f t="shared" ref="BC3:BC66" si="36">COUNTIFS(E:E,"=" &amp; BB3)</f>
        <v>25</v>
      </c>
      <c r="BD3">
        <f t="shared" ref="BD3:BD66" si="37">BC3/$BC$159</f>
        <v>4.5045045045045043E-2</v>
      </c>
      <c r="BE3">
        <f t="shared" ref="BE3:BE66" si="38">MAX(0,(BB3-$K$11)/$K$7)</f>
        <v>0</v>
      </c>
      <c r="BF3">
        <f t="shared" ref="BF3:BF66" si="39">ABS(BB3-$K$2)</f>
        <v>37</v>
      </c>
      <c r="BG3">
        <f t="shared" ref="BG3:BG66" si="40">0.6745*(BB3-$K$2)/$BF$159</f>
        <v>-0.62391249999999998</v>
      </c>
      <c r="BH3">
        <f t="shared" ref="BH3:BH66" si="41">(BB3-$K$2)/25.0446</f>
        <v>-1.4773643819426143</v>
      </c>
      <c r="BI3">
        <f t="shared" ref="BI3:BI66" si="42">(BB3-$K$2)/24.4105</f>
        <v>-1.5157411769525411</v>
      </c>
      <c r="BJ3">
        <f t="shared" ref="BJ3:BJ66" si="43">COUNTIFS(BG:BG,"&gt;=" &amp; BG3)/157</f>
        <v>0.99363057324840764</v>
      </c>
    </row>
    <row r="4" spans="1:62" x14ac:dyDescent="0.25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4">MAX(A:A)</f>
        <v>202</v>
      </c>
      <c r="H4">
        <f>MAX(B:B)</f>
        <v>95</v>
      </c>
      <c r="I4">
        <f t="shared" ref="I4:K4" si="45">MAX(C:C)</f>
        <v>23</v>
      </c>
      <c r="J4">
        <f t="shared" si="45"/>
        <v>101</v>
      </c>
      <c r="K4">
        <f t="shared" si="45"/>
        <v>169</v>
      </c>
      <c r="N4">
        <f>CORREL($D:$D,B:B)</f>
        <v>0.26558721508350153</v>
      </c>
      <c r="O4">
        <f t="shared" ref="O4:Q4" si="46">CORREL($D:$D,C:C)</f>
        <v>0.7350018997570853</v>
      </c>
      <c r="P4">
        <f t="shared" si="46"/>
        <v>1.0000000000000002</v>
      </c>
      <c r="Q4">
        <f t="shared" si="46"/>
        <v>0.43446791532986911</v>
      </c>
      <c r="S4">
        <v>5</v>
      </c>
      <c r="T4">
        <f t="shared" si="5"/>
        <v>6142</v>
      </c>
      <c r="U4">
        <f t="shared" si="6"/>
        <v>0.60619818397157521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1.2577561630051985</v>
      </c>
      <c r="Z4">
        <f t="shared" si="14"/>
        <v>0.45062501689843815</v>
      </c>
      <c r="AA4">
        <f t="shared" si="15"/>
        <v>4.3478260869565216E-2</v>
      </c>
      <c r="AB4">
        <f t="shared" si="16"/>
        <v>5.3925445871759708E-2</v>
      </c>
      <c r="AC4">
        <f t="shared" si="17"/>
        <v>0.95652173913043481</v>
      </c>
      <c r="AF4">
        <v>2</v>
      </c>
      <c r="AG4">
        <f t="shared" si="18"/>
        <v>6720</v>
      </c>
      <c r="AH4">
        <f t="shared" si="19"/>
        <v>1</v>
      </c>
      <c r="AI4">
        <f t="shared" si="20"/>
        <v>0</v>
      </c>
      <c r="AJ4">
        <f t="shared" si="21"/>
        <v>1</v>
      </c>
      <c r="AK4">
        <f t="shared" si="22"/>
        <v>-8.9933333333333337E-2</v>
      </c>
      <c r="AL4">
        <f t="shared" si="23"/>
        <v>-0.83850410867013236</v>
      </c>
      <c r="AM4">
        <f t="shared" si="24"/>
        <v>-0.30394657389799651</v>
      </c>
      <c r="AN4">
        <f t="shared" si="25"/>
        <v>-0.57937490859078733</v>
      </c>
      <c r="AO4">
        <f t="shared" si="26"/>
        <v>0.9</v>
      </c>
      <c r="AQ4">
        <v>3</v>
      </c>
      <c r="AR4">
        <f t="shared" si="27"/>
        <v>311</v>
      </c>
      <c r="AS4">
        <f t="shared" si="28"/>
        <v>0.26695278969957081</v>
      </c>
      <c r="AT4">
        <f t="shared" si="29"/>
        <v>0</v>
      </c>
      <c r="AU4">
        <f t="shared" si="30"/>
        <v>20</v>
      </c>
      <c r="AV4">
        <f t="shared" si="31"/>
        <v>-0.49054545454545456</v>
      </c>
      <c r="AW4">
        <f t="shared" si="32"/>
        <v>-0.94261836883000727</v>
      </c>
      <c r="AX4">
        <f t="shared" si="33"/>
        <v>-0.98709025911888904</v>
      </c>
      <c r="AY4">
        <f t="shared" si="34"/>
        <v>-1.562876434732015</v>
      </c>
      <c r="AZ4">
        <f t="shared" si="35"/>
        <v>0.967741935483871</v>
      </c>
      <c r="BB4">
        <v>2</v>
      </c>
      <c r="BC4">
        <f t="shared" si="36"/>
        <v>40</v>
      </c>
      <c r="BD4">
        <f t="shared" si="37"/>
        <v>7.2072072072072071E-2</v>
      </c>
      <c r="BE4">
        <f t="shared" si="38"/>
        <v>0</v>
      </c>
      <c r="BF4">
        <f t="shared" si="39"/>
        <v>36</v>
      </c>
      <c r="BG4">
        <f t="shared" si="40"/>
        <v>-0.60704999999999998</v>
      </c>
      <c r="BH4">
        <f t="shared" si="41"/>
        <v>-1.4374356148630842</v>
      </c>
      <c r="BI4">
        <f t="shared" si="42"/>
        <v>-1.4747751991970668</v>
      </c>
      <c r="BJ4">
        <f t="shared" si="43"/>
        <v>0.98726114649681529</v>
      </c>
    </row>
    <row r="5" spans="1:62" x14ac:dyDescent="0.25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7">VAR(A:A)</f>
        <v>643.17598610233426</v>
      </c>
      <c r="H5">
        <f>VAR(B:B)</f>
        <v>29.699480490813691</v>
      </c>
      <c r="I5">
        <f t="shared" ref="I5:K5" si="48">VAR(C:C)</f>
        <v>3.6369198060241126</v>
      </c>
      <c r="J5">
        <f t="shared" si="48"/>
        <v>215.82981467876388</v>
      </c>
      <c r="K5">
        <f t="shared" si="48"/>
        <v>636.47390705051407</v>
      </c>
      <c r="N5">
        <f>CORREL($E:$E,B:B)</f>
        <v>0.28366855682671482</v>
      </c>
      <c r="O5">
        <f t="shared" ref="O5:Q5" si="49">CORREL($E:$E,C:C)</f>
        <v>0.59237894258516188</v>
      </c>
      <c r="P5">
        <f t="shared" si="49"/>
        <v>0.43446791532986911</v>
      </c>
      <c r="Q5">
        <f t="shared" si="49"/>
        <v>1.0000000000000002</v>
      </c>
      <c r="S5">
        <v>8</v>
      </c>
      <c r="T5">
        <f t="shared" si="5"/>
        <v>2629</v>
      </c>
      <c r="U5">
        <f t="shared" si="6"/>
        <v>0.25947493091196211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2.5155123260103971</v>
      </c>
      <c r="Z5">
        <f t="shared" si="14"/>
        <v>0.90125003379687629</v>
      </c>
      <c r="AA5">
        <f t="shared" si="15"/>
        <v>4.3478260869565216E-2</v>
      </c>
      <c r="AB5">
        <f t="shared" si="16"/>
        <v>0.60442360846991794</v>
      </c>
      <c r="AC5">
        <f t="shared" si="17"/>
        <v>0.93478260869565222</v>
      </c>
      <c r="AF5">
        <v>3</v>
      </c>
      <c r="AG5">
        <f t="shared" si="18"/>
        <v>6147</v>
      </c>
      <c r="AH5">
        <f t="shared" si="19"/>
        <v>0.91473214285714288</v>
      </c>
      <c r="AI5">
        <f t="shared" si="20"/>
        <v>0</v>
      </c>
      <c r="AJ5">
        <f t="shared" si="21"/>
        <v>0</v>
      </c>
      <c r="AK5">
        <f t="shared" si="22"/>
        <v>0</v>
      </c>
      <c r="AL5">
        <f t="shared" si="23"/>
        <v>0</v>
      </c>
      <c r="AM5">
        <f t="shared" si="24"/>
        <v>0</v>
      </c>
      <c r="AN5">
        <f t="shared" si="25"/>
        <v>-5.4999661445112272E-2</v>
      </c>
      <c r="AO5">
        <f t="shared" si="26"/>
        <v>0.85</v>
      </c>
      <c r="AQ5">
        <v>5</v>
      </c>
      <c r="AR5">
        <f t="shared" si="27"/>
        <v>442</v>
      </c>
      <c r="AS5">
        <f t="shared" si="28"/>
        <v>0.37939914163090127</v>
      </c>
      <c r="AT5">
        <f t="shared" si="29"/>
        <v>0</v>
      </c>
      <c r="AU5">
        <f t="shared" si="30"/>
        <v>18</v>
      </c>
      <c r="AV5">
        <f t="shared" si="31"/>
        <v>-0.4414909090909091</v>
      </c>
      <c r="AW5">
        <f t="shared" si="32"/>
        <v>-0.84835653194700655</v>
      </c>
      <c r="AX5">
        <f t="shared" si="33"/>
        <v>-0.982207732916481</v>
      </c>
      <c r="AY5">
        <f t="shared" si="34"/>
        <v>-1.4267371946427134</v>
      </c>
      <c r="AZ5">
        <f t="shared" si="35"/>
        <v>0.95161290322580649</v>
      </c>
      <c r="BB5">
        <v>3</v>
      </c>
      <c r="BC5">
        <f t="shared" si="36"/>
        <v>69</v>
      </c>
      <c r="BD5">
        <f t="shared" si="37"/>
        <v>0.12432432432432433</v>
      </c>
      <c r="BE5">
        <f t="shared" si="38"/>
        <v>0</v>
      </c>
      <c r="BF5">
        <f t="shared" si="39"/>
        <v>35</v>
      </c>
      <c r="BG5">
        <f t="shared" si="40"/>
        <v>-0.59018749999999998</v>
      </c>
      <c r="BH5">
        <f t="shared" si="41"/>
        <v>-1.3975068477835542</v>
      </c>
      <c r="BI5">
        <f t="shared" si="42"/>
        <v>-1.4338092214415927</v>
      </c>
      <c r="BJ5">
        <f t="shared" si="43"/>
        <v>0.98089171974522293</v>
      </c>
    </row>
    <row r="6" spans="1:62" x14ac:dyDescent="0.25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50">_xlfn.STDEV.P(A:A)</f>
        <v>25.36038633217186</v>
      </c>
      <c r="H6">
        <f>_xlfn.STDEV.P(B:B)</f>
        <v>5.4496094697955977</v>
      </c>
      <c r="I6">
        <f t="shared" ref="I6:K6" si="51">_xlfn.STDEV.P(C:C)</f>
        <v>1.907031282356074</v>
      </c>
      <c r="J6">
        <f t="shared" si="51"/>
        <v>14.690841514085772</v>
      </c>
      <c r="K6">
        <f t="shared" si="51"/>
        <v>25.227909050039354</v>
      </c>
      <c r="S6">
        <v>10</v>
      </c>
      <c r="T6">
        <f t="shared" si="5"/>
        <v>1107</v>
      </c>
      <c r="U6">
        <f t="shared" si="6"/>
        <v>0.10925779707856297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3.3540164346805295</v>
      </c>
      <c r="Z6">
        <f t="shared" si="14"/>
        <v>1.2016667117291684</v>
      </c>
      <c r="AA6">
        <f t="shared" si="15"/>
        <v>4.3478260869565216E-2</v>
      </c>
      <c r="AB6">
        <f t="shared" si="16"/>
        <v>0.97142238353535681</v>
      </c>
      <c r="AC6">
        <f t="shared" si="17"/>
        <v>0.91304347826086951</v>
      </c>
      <c r="AF6">
        <v>5</v>
      </c>
      <c r="AG6">
        <f t="shared" si="18"/>
        <v>3938</v>
      </c>
      <c r="AH6">
        <f t="shared" si="19"/>
        <v>0.58601190476190479</v>
      </c>
      <c r="AI6">
        <f t="shared" si="20"/>
        <v>0</v>
      </c>
      <c r="AJ6">
        <f t="shared" si="21"/>
        <v>2</v>
      </c>
      <c r="AK6">
        <f t="shared" si="22"/>
        <v>0.17986666666666667</v>
      </c>
      <c r="AL6">
        <f t="shared" si="23"/>
        <v>1.6770082173402647</v>
      </c>
      <c r="AM6">
        <f t="shared" si="24"/>
        <v>0.60789314779599302</v>
      </c>
      <c r="AN6">
        <f t="shared" si="25"/>
        <v>0.99375083284623789</v>
      </c>
      <c r="AO6">
        <f t="shared" si="26"/>
        <v>0.8</v>
      </c>
      <c r="AQ6">
        <v>7</v>
      </c>
      <c r="AR6">
        <f t="shared" si="27"/>
        <v>678</v>
      </c>
      <c r="AS6">
        <f t="shared" si="28"/>
        <v>0.58197424892703864</v>
      </c>
      <c r="AT6">
        <f t="shared" si="29"/>
        <v>0</v>
      </c>
      <c r="AU6">
        <f t="shared" si="30"/>
        <v>16</v>
      </c>
      <c r="AV6">
        <f t="shared" si="31"/>
        <v>-0.39243636363636364</v>
      </c>
      <c r="AW6">
        <f t="shared" si="32"/>
        <v>-0.75409469506400584</v>
      </c>
      <c r="AX6">
        <f t="shared" si="33"/>
        <v>-0.97341173151366955</v>
      </c>
      <c r="AY6">
        <f t="shared" si="34"/>
        <v>-1.2905979545534121</v>
      </c>
      <c r="AZ6">
        <f t="shared" si="35"/>
        <v>0.93548387096774188</v>
      </c>
      <c r="BB6">
        <v>4</v>
      </c>
      <c r="BC6">
        <f t="shared" si="36"/>
        <v>86</v>
      </c>
      <c r="BD6">
        <f t="shared" si="37"/>
        <v>0.15495495495495495</v>
      </c>
      <c r="BE6">
        <f t="shared" si="38"/>
        <v>0</v>
      </c>
      <c r="BF6">
        <f t="shared" si="39"/>
        <v>34</v>
      </c>
      <c r="BG6">
        <f t="shared" si="40"/>
        <v>-0.57332499999999997</v>
      </c>
      <c r="BH6">
        <f t="shared" si="41"/>
        <v>-1.3575780807040241</v>
      </c>
      <c r="BI6">
        <f t="shared" si="42"/>
        <v>-1.3928432436861187</v>
      </c>
      <c r="BJ6">
        <f t="shared" si="43"/>
        <v>0.97452229299363058</v>
      </c>
    </row>
    <row r="7" spans="1:62" x14ac:dyDescent="0.25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2">QUARTILE(A:A,3)-QUARTILE(A:A,1)</f>
        <v>31</v>
      </c>
      <c r="H7">
        <f>QUARTILE(B:B,3)-QUARTILE(B:B,1)</f>
        <v>3</v>
      </c>
      <c r="I7">
        <f t="shared" ref="I7:K7" si="53">QUARTILE(C:C,3)-QUARTILE(C:C,1)</f>
        <v>3</v>
      </c>
      <c r="J7">
        <f t="shared" si="53"/>
        <v>20</v>
      </c>
      <c r="K7">
        <f t="shared" si="53"/>
        <v>37</v>
      </c>
      <c r="S7">
        <v>12</v>
      </c>
      <c r="T7">
        <f t="shared" si="5"/>
        <v>548</v>
      </c>
      <c r="U7">
        <f t="shared" si="6"/>
        <v>5.4086063955783657E-2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4.1925205433506623</v>
      </c>
      <c r="Z7">
        <f t="shared" si="14"/>
        <v>1.5020833896614605</v>
      </c>
      <c r="AA7">
        <f t="shared" si="15"/>
        <v>4.3478260869565216E-2</v>
      </c>
      <c r="AB7">
        <f t="shared" si="16"/>
        <v>1.3384211586007957</v>
      </c>
      <c r="AC7">
        <f t="shared" si="17"/>
        <v>0.89130434782608692</v>
      </c>
      <c r="AF7">
        <v>6</v>
      </c>
      <c r="AG7">
        <f t="shared" si="18"/>
        <v>1753</v>
      </c>
      <c r="AH7">
        <f t="shared" si="19"/>
        <v>0.26086309523809526</v>
      </c>
      <c r="AI7">
        <f t="shared" si="20"/>
        <v>0.33333333333333331</v>
      </c>
      <c r="AJ7">
        <f t="shared" si="21"/>
        <v>3</v>
      </c>
      <c r="AK7">
        <f t="shared" si="22"/>
        <v>0.26979999999999998</v>
      </c>
      <c r="AL7">
        <f t="shared" si="23"/>
        <v>2.5155123260103971</v>
      </c>
      <c r="AM7">
        <f t="shared" si="24"/>
        <v>0.91183972169398952</v>
      </c>
      <c r="AN7">
        <f t="shared" si="25"/>
        <v>1.518126079991913</v>
      </c>
      <c r="AO7">
        <f t="shared" si="26"/>
        <v>0.75</v>
      </c>
      <c r="AQ7">
        <v>8</v>
      </c>
      <c r="AR7">
        <f t="shared" si="27"/>
        <v>845</v>
      </c>
      <c r="AS7">
        <f t="shared" si="28"/>
        <v>0.72532188841201717</v>
      </c>
      <c r="AT7">
        <f t="shared" si="29"/>
        <v>0</v>
      </c>
      <c r="AU7">
        <f t="shared" si="30"/>
        <v>15</v>
      </c>
      <c r="AV7">
        <f t="shared" si="31"/>
        <v>-0.36790909090909091</v>
      </c>
      <c r="AW7">
        <f t="shared" si="32"/>
        <v>-0.70696377662250542</v>
      </c>
      <c r="AX7">
        <f t="shared" si="33"/>
        <v>-0.96718744238540877</v>
      </c>
      <c r="AY7">
        <f t="shared" si="34"/>
        <v>-1.2225283345087612</v>
      </c>
      <c r="AZ7">
        <f t="shared" si="35"/>
        <v>0.91935483870967738</v>
      </c>
      <c r="BB7">
        <v>5</v>
      </c>
      <c r="BC7">
        <f t="shared" si="36"/>
        <v>90</v>
      </c>
      <c r="BD7">
        <f t="shared" si="37"/>
        <v>0.16216216216216217</v>
      </c>
      <c r="BE7">
        <f t="shared" si="38"/>
        <v>0</v>
      </c>
      <c r="BF7">
        <f t="shared" si="39"/>
        <v>33</v>
      </c>
      <c r="BG7">
        <f t="shared" si="40"/>
        <v>-0.55646249999999997</v>
      </c>
      <c r="BH7">
        <f t="shared" si="41"/>
        <v>-1.317649313624494</v>
      </c>
      <c r="BI7">
        <f t="shared" si="42"/>
        <v>-1.3518772659306446</v>
      </c>
      <c r="BJ7">
        <f t="shared" si="43"/>
        <v>0.96815286624203822</v>
      </c>
    </row>
    <row r="8" spans="1:62" x14ac:dyDescent="0.25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4">SKEW(A:A)</f>
        <v>1.2207929024196038</v>
      </c>
      <c r="H8">
        <f>SKEW(B:B)</f>
        <v>4.852579781667858</v>
      </c>
      <c r="I8">
        <f t="shared" ref="I8:K8" si="55">SKEW(C:C)</f>
        <v>1.3083196028101731</v>
      </c>
      <c r="J8">
        <f t="shared" si="55"/>
        <v>0.60643118766186344</v>
      </c>
      <c r="K8">
        <f t="shared" si="55"/>
        <v>0.7848402685707867</v>
      </c>
      <c r="S8">
        <v>15</v>
      </c>
      <c r="T8">
        <f t="shared" si="5"/>
        <v>287</v>
      </c>
      <c r="U8">
        <f t="shared" si="6"/>
        <v>2.8326095538886695E-2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5.4502767063558606</v>
      </c>
      <c r="Z8">
        <f t="shared" si="14"/>
        <v>1.9527084065598985</v>
      </c>
      <c r="AA8">
        <f t="shared" si="15"/>
        <v>4.3478260869565216E-2</v>
      </c>
      <c r="AB8">
        <f t="shared" si="16"/>
        <v>1.8889193211989539</v>
      </c>
      <c r="AC8">
        <f t="shared" si="17"/>
        <v>0.86956521739130432</v>
      </c>
      <c r="AF8">
        <v>7</v>
      </c>
      <c r="AG8">
        <f t="shared" si="18"/>
        <v>621</v>
      </c>
      <c r="AH8">
        <f t="shared" si="19"/>
        <v>9.241071428571429E-2</v>
      </c>
      <c r="AI8">
        <f t="shared" si="20"/>
        <v>0.66666666666666663</v>
      </c>
      <c r="AJ8">
        <f t="shared" si="21"/>
        <v>4</v>
      </c>
      <c r="AK8">
        <f t="shared" si="22"/>
        <v>0.35973333333333335</v>
      </c>
      <c r="AL8">
        <f t="shared" si="23"/>
        <v>3.3540164346805295</v>
      </c>
      <c r="AM8">
        <f t="shared" si="24"/>
        <v>1.215786295591986</v>
      </c>
      <c r="AN8">
        <f t="shared" si="25"/>
        <v>2.0425013271375883</v>
      </c>
      <c r="AO8">
        <f t="shared" si="26"/>
        <v>0.7</v>
      </c>
      <c r="AQ8">
        <v>10</v>
      </c>
      <c r="AR8">
        <f t="shared" si="27"/>
        <v>912</v>
      </c>
      <c r="AS8">
        <f t="shared" si="28"/>
        <v>0.7828326180257511</v>
      </c>
      <c r="AT8">
        <f t="shared" si="29"/>
        <v>0</v>
      </c>
      <c r="AU8">
        <f t="shared" si="30"/>
        <v>13</v>
      </c>
      <c r="AV8">
        <f t="shared" si="31"/>
        <v>-0.31885454545454545</v>
      </c>
      <c r="AW8">
        <f t="shared" si="32"/>
        <v>-0.61270193973950471</v>
      </c>
      <c r="AX8">
        <f t="shared" si="33"/>
        <v>-0.96469027249562778</v>
      </c>
      <c r="AY8">
        <f t="shared" si="34"/>
        <v>-1.0863890944194599</v>
      </c>
      <c r="AZ8">
        <f t="shared" si="35"/>
        <v>0.90322580645161288</v>
      </c>
      <c r="BB8">
        <v>6</v>
      </c>
      <c r="BC8">
        <f t="shared" si="36"/>
        <v>180</v>
      </c>
      <c r="BD8">
        <f t="shared" si="37"/>
        <v>0.32432432432432434</v>
      </c>
      <c r="BE8">
        <f t="shared" si="38"/>
        <v>0</v>
      </c>
      <c r="BF8">
        <f t="shared" si="39"/>
        <v>32</v>
      </c>
      <c r="BG8">
        <f t="shared" si="40"/>
        <v>-0.53959999999999997</v>
      </c>
      <c r="BH8">
        <f t="shared" si="41"/>
        <v>-1.2777205465449639</v>
      </c>
      <c r="BI8">
        <f t="shared" si="42"/>
        <v>-1.3109112881751706</v>
      </c>
      <c r="BJ8">
        <f t="shared" si="43"/>
        <v>0.96178343949044587</v>
      </c>
    </row>
    <row r="9" spans="1:62" x14ac:dyDescent="0.25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6">KURT(A:A)</f>
        <v>1.7068755050490387</v>
      </c>
      <c r="H9">
        <f>KURT(B:B)</f>
        <v>41.780966222023373</v>
      </c>
      <c r="I9">
        <f t="shared" ref="I9:K9" si="57">KURT(C:C)</f>
        <v>3.9280355592729284</v>
      </c>
      <c r="J9">
        <f t="shared" si="57"/>
        <v>-0.27169140648998846</v>
      </c>
      <c r="K9">
        <f t="shared" si="57"/>
        <v>0.41513988842959781</v>
      </c>
      <c r="S9">
        <v>18</v>
      </c>
      <c r="T9">
        <f t="shared" si="5"/>
        <v>192</v>
      </c>
      <c r="U9">
        <f t="shared" si="6"/>
        <v>1.8949861823924202E-2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6.7080328693610589</v>
      </c>
      <c r="Z9">
        <f t="shared" si="14"/>
        <v>2.4033334234583368</v>
      </c>
      <c r="AA9">
        <f t="shared" si="15"/>
        <v>4.3478260869565216E-2</v>
      </c>
      <c r="AB9">
        <f t="shared" si="16"/>
        <v>2.4394174837971123</v>
      </c>
      <c r="AC9">
        <f t="shared" si="17"/>
        <v>0.84782608695652173</v>
      </c>
      <c r="AF9">
        <v>8</v>
      </c>
      <c r="AG9">
        <f t="shared" si="18"/>
        <v>203</v>
      </c>
      <c r="AH9">
        <f t="shared" si="19"/>
        <v>3.0208333333333334E-2</v>
      </c>
      <c r="AI9">
        <f t="shared" si="20"/>
        <v>1</v>
      </c>
      <c r="AJ9">
        <f t="shared" si="21"/>
        <v>5</v>
      </c>
      <c r="AK9">
        <f t="shared" si="22"/>
        <v>0.44966666666666666</v>
      </c>
      <c r="AL9">
        <f t="shared" si="23"/>
        <v>4.1925205433506623</v>
      </c>
      <c r="AM9">
        <f t="shared" si="24"/>
        <v>1.5197328694899828</v>
      </c>
      <c r="AN9">
        <f t="shared" si="25"/>
        <v>2.5668765742832633</v>
      </c>
      <c r="AO9">
        <f t="shared" si="26"/>
        <v>0.65</v>
      </c>
      <c r="AQ9">
        <v>12</v>
      </c>
      <c r="AR9">
        <f t="shared" si="27"/>
        <v>1103</v>
      </c>
      <c r="AS9">
        <f t="shared" si="28"/>
        <v>0.94678111587982827</v>
      </c>
      <c r="AT9">
        <f t="shared" si="29"/>
        <v>0</v>
      </c>
      <c r="AU9">
        <f t="shared" si="30"/>
        <v>11</v>
      </c>
      <c r="AV9">
        <f t="shared" si="31"/>
        <v>-0.26979999999999998</v>
      </c>
      <c r="AW9">
        <f t="shared" si="32"/>
        <v>-0.51844010285650399</v>
      </c>
      <c r="AX9">
        <f t="shared" si="33"/>
        <v>-0.95757147475013205</v>
      </c>
      <c r="AY9">
        <f t="shared" si="34"/>
        <v>-0.95024985433015829</v>
      </c>
      <c r="AZ9">
        <f t="shared" si="35"/>
        <v>0.88709677419354838</v>
      </c>
      <c r="BB9">
        <v>7</v>
      </c>
      <c r="BC9">
        <f t="shared" si="36"/>
        <v>140</v>
      </c>
      <c r="BD9">
        <f t="shared" si="37"/>
        <v>0.25225225225225223</v>
      </c>
      <c r="BE9">
        <f t="shared" si="38"/>
        <v>0</v>
      </c>
      <c r="BF9">
        <f t="shared" si="39"/>
        <v>31</v>
      </c>
      <c r="BG9">
        <f t="shared" si="40"/>
        <v>-0.52273750000000008</v>
      </c>
      <c r="BH9">
        <f t="shared" si="41"/>
        <v>-1.2377917794654336</v>
      </c>
      <c r="BI9">
        <f t="shared" si="42"/>
        <v>-1.2699453104196965</v>
      </c>
      <c r="BJ9">
        <f t="shared" si="43"/>
        <v>0.95541401273885351</v>
      </c>
    </row>
    <row r="10" spans="1:62" x14ac:dyDescent="0.25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8">MIN(B:B)</f>
        <v>0</v>
      </c>
      <c r="I10">
        <f t="shared" si="58"/>
        <v>0</v>
      </c>
      <c r="J10">
        <f t="shared" si="58"/>
        <v>0</v>
      </c>
      <c r="K10">
        <f t="shared" si="58"/>
        <v>0</v>
      </c>
      <c r="S10">
        <v>20</v>
      </c>
      <c r="T10">
        <f t="shared" si="5"/>
        <v>125</v>
      </c>
      <c r="U10">
        <f t="shared" si="6"/>
        <v>1.2337149624950651E-2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7.5465369780311917</v>
      </c>
      <c r="Z10">
        <f t="shared" si="14"/>
        <v>2.7037501013906287</v>
      </c>
      <c r="AA10">
        <f t="shared" si="15"/>
        <v>4.3478260869565216E-2</v>
      </c>
      <c r="AB10">
        <f t="shared" si="16"/>
        <v>2.806416258862551</v>
      </c>
      <c r="AC10">
        <f t="shared" si="17"/>
        <v>0.82608695652173914</v>
      </c>
      <c r="AF10">
        <v>9</v>
      </c>
      <c r="AG10">
        <f t="shared" si="18"/>
        <v>112</v>
      </c>
      <c r="AH10">
        <f t="shared" si="19"/>
        <v>1.6666666666666666E-2</v>
      </c>
      <c r="AI10">
        <f t="shared" si="20"/>
        <v>1.3333333333333333</v>
      </c>
      <c r="AJ10">
        <f t="shared" si="21"/>
        <v>6</v>
      </c>
      <c r="AK10">
        <f t="shared" si="22"/>
        <v>0.53959999999999997</v>
      </c>
      <c r="AL10">
        <f t="shared" si="23"/>
        <v>5.0310246520207942</v>
      </c>
      <c r="AM10">
        <f t="shared" si="24"/>
        <v>1.823679443387979</v>
      </c>
      <c r="AN10">
        <f t="shared" si="25"/>
        <v>3.0912518214289384</v>
      </c>
      <c r="AO10">
        <f t="shared" si="26"/>
        <v>0.6</v>
      </c>
      <c r="AQ10">
        <v>13</v>
      </c>
      <c r="AR10">
        <f t="shared" si="27"/>
        <v>1016</v>
      </c>
      <c r="AS10">
        <f t="shared" si="28"/>
        <v>0.87210300429184551</v>
      </c>
      <c r="AT10">
        <f t="shared" si="29"/>
        <v>0</v>
      </c>
      <c r="AU10">
        <f t="shared" si="30"/>
        <v>10</v>
      </c>
      <c r="AV10">
        <f t="shared" si="31"/>
        <v>-0.24527272727272728</v>
      </c>
      <c r="AW10">
        <f t="shared" si="32"/>
        <v>-0.47130918441500363</v>
      </c>
      <c r="AX10">
        <f t="shared" si="33"/>
        <v>-0.9608140684876092</v>
      </c>
      <c r="AY10">
        <f t="shared" si="34"/>
        <v>-0.88218023428550763</v>
      </c>
      <c r="AZ10">
        <f t="shared" si="35"/>
        <v>0.87096774193548387</v>
      </c>
      <c r="BB10">
        <v>8</v>
      </c>
      <c r="BC10">
        <f t="shared" si="36"/>
        <v>179</v>
      </c>
      <c r="BD10">
        <f t="shared" si="37"/>
        <v>0.3225225225225225</v>
      </c>
      <c r="BE10">
        <f t="shared" si="38"/>
        <v>0</v>
      </c>
      <c r="BF10">
        <f t="shared" si="39"/>
        <v>30</v>
      </c>
      <c r="BG10">
        <f t="shared" si="40"/>
        <v>-0.50587499999999996</v>
      </c>
      <c r="BH10">
        <f t="shared" si="41"/>
        <v>-1.1978630123859035</v>
      </c>
      <c r="BI10">
        <f t="shared" si="42"/>
        <v>-1.2289793326642224</v>
      </c>
      <c r="BJ10">
        <f t="shared" si="43"/>
        <v>0.94904458598726116</v>
      </c>
    </row>
    <row r="11" spans="1:62" x14ac:dyDescent="0.25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9">QUARTILE(A:A,3)</f>
        <v>67</v>
      </c>
      <c r="H11">
        <f>QUARTILE(B:B,3)</f>
        <v>5</v>
      </c>
      <c r="I11">
        <f t="shared" ref="I11:K11" si="60">QUARTILE(C:C,3)</f>
        <v>5</v>
      </c>
      <c r="J11">
        <f t="shared" si="60"/>
        <v>35</v>
      </c>
      <c r="K11">
        <f t="shared" si="60"/>
        <v>60</v>
      </c>
      <c r="S11">
        <v>22</v>
      </c>
      <c r="T11">
        <f t="shared" si="5"/>
        <v>76</v>
      </c>
      <c r="U11">
        <f t="shared" si="6"/>
        <v>7.5009869719699961E-3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8.3850410867013245</v>
      </c>
      <c r="Z11">
        <f t="shared" si="14"/>
        <v>3.004166779322921</v>
      </c>
      <c r="AA11">
        <f t="shared" si="15"/>
        <v>4.3478260869565216E-2</v>
      </c>
      <c r="AB11">
        <f t="shared" si="16"/>
        <v>3.1734150339279901</v>
      </c>
      <c r="AC11">
        <f t="shared" si="17"/>
        <v>0.80434782608695654</v>
      </c>
      <c r="AF11">
        <v>10</v>
      </c>
      <c r="AG11">
        <f t="shared" si="18"/>
        <v>42</v>
      </c>
      <c r="AH11">
        <f t="shared" si="19"/>
        <v>6.2500000000000003E-3</v>
      </c>
      <c r="AI11">
        <f t="shared" si="20"/>
        <v>1.6666666666666667</v>
      </c>
      <c r="AJ11">
        <f t="shared" si="21"/>
        <v>7</v>
      </c>
      <c r="AK11">
        <f t="shared" si="22"/>
        <v>0.62953333333333328</v>
      </c>
      <c r="AL11">
        <f t="shared" si="23"/>
        <v>5.869528760690927</v>
      </c>
      <c r="AM11">
        <f t="shared" si="24"/>
        <v>2.1276260172859756</v>
      </c>
      <c r="AN11">
        <f t="shared" si="25"/>
        <v>3.6156270685746135</v>
      </c>
      <c r="AO11">
        <f t="shared" si="26"/>
        <v>0.55000000000000004</v>
      </c>
      <c r="AQ11">
        <v>15</v>
      </c>
      <c r="AR11">
        <f t="shared" si="27"/>
        <v>1148</v>
      </c>
      <c r="AS11">
        <f t="shared" si="28"/>
        <v>0.98540772532188836</v>
      </c>
      <c r="AT11">
        <f t="shared" si="29"/>
        <v>0</v>
      </c>
      <c r="AU11">
        <f t="shared" si="30"/>
        <v>8</v>
      </c>
      <c r="AV11">
        <f t="shared" si="31"/>
        <v>-0.19621818181818182</v>
      </c>
      <c r="AW11">
        <f t="shared" si="32"/>
        <v>-0.37704734753200292</v>
      </c>
      <c r="AX11">
        <f t="shared" si="33"/>
        <v>-0.95589427109281622</v>
      </c>
      <c r="AY11">
        <f t="shared" si="34"/>
        <v>-0.74604099419620618</v>
      </c>
      <c r="AZ11">
        <f t="shared" si="35"/>
        <v>0.85483870967741937</v>
      </c>
      <c r="BB11">
        <v>9</v>
      </c>
      <c r="BC11">
        <f t="shared" si="36"/>
        <v>203</v>
      </c>
      <c r="BD11">
        <f t="shared" si="37"/>
        <v>0.36576576576576575</v>
      </c>
      <c r="BE11">
        <f t="shared" si="38"/>
        <v>0</v>
      </c>
      <c r="BF11">
        <f t="shared" si="39"/>
        <v>29</v>
      </c>
      <c r="BG11">
        <f t="shared" si="40"/>
        <v>-0.48901250000000002</v>
      </c>
      <c r="BH11">
        <f t="shared" si="41"/>
        <v>-1.1579342453063735</v>
      </c>
      <c r="BI11">
        <f t="shared" si="42"/>
        <v>-1.1880133549087484</v>
      </c>
      <c r="BJ11">
        <f t="shared" si="43"/>
        <v>0.9426751592356688</v>
      </c>
    </row>
    <row r="12" spans="1:62" x14ac:dyDescent="0.25">
      <c r="A12">
        <v>19</v>
      </c>
      <c r="B12">
        <v>0</v>
      </c>
      <c r="C12">
        <v>1</v>
      </c>
      <c r="D12">
        <v>0</v>
      </c>
      <c r="E12">
        <v>3</v>
      </c>
      <c r="G12">
        <f>QUARTILE(A:A,1)</f>
        <v>36</v>
      </c>
      <c r="H12">
        <f t="shared" ref="H12:K12" si="61">QUARTILE(B:B,1)</f>
        <v>2</v>
      </c>
      <c r="I12">
        <f t="shared" si="61"/>
        <v>2</v>
      </c>
      <c r="J12">
        <f t="shared" si="61"/>
        <v>15</v>
      </c>
      <c r="K12">
        <f t="shared" si="61"/>
        <v>23</v>
      </c>
      <c r="S12">
        <v>25</v>
      </c>
      <c r="T12">
        <f t="shared" si="5"/>
        <v>63</v>
      </c>
      <c r="U12">
        <f t="shared" si="6"/>
        <v>6.2179234109751283E-3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9.642797249706522</v>
      </c>
      <c r="Z12">
        <f t="shared" si="14"/>
        <v>3.4547917962213588</v>
      </c>
      <c r="AA12">
        <f t="shared" si="15"/>
        <v>4.3478260869565216E-2</v>
      </c>
      <c r="AB12">
        <f t="shared" si="16"/>
        <v>3.7239131965261483</v>
      </c>
      <c r="AC12">
        <f t="shared" si="17"/>
        <v>0.78260869565217395</v>
      </c>
      <c r="AF12">
        <v>11</v>
      </c>
      <c r="AG12">
        <f t="shared" si="18"/>
        <v>15</v>
      </c>
      <c r="AH12">
        <f t="shared" si="19"/>
        <v>2.232142857142857E-3</v>
      </c>
      <c r="AI12">
        <f t="shared" si="20"/>
        <v>2</v>
      </c>
      <c r="AJ12">
        <f t="shared" si="21"/>
        <v>8</v>
      </c>
      <c r="AK12">
        <f t="shared" si="22"/>
        <v>0.7194666666666667</v>
      </c>
      <c r="AL12">
        <f t="shared" si="23"/>
        <v>6.7080328693610589</v>
      </c>
      <c r="AM12">
        <f t="shared" si="24"/>
        <v>2.4315725911839721</v>
      </c>
      <c r="AN12">
        <f t="shared" si="25"/>
        <v>4.1400023157202881</v>
      </c>
      <c r="AO12">
        <f t="shared" si="26"/>
        <v>0.5</v>
      </c>
      <c r="AQ12">
        <v>17</v>
      </c>
      <c r="AR12">
        <f t="shared" si="27"/>
        <v>1165</v>
      </c>
      <c r="AS12">
        <f t="shared" si="28"/>
        <v>1</v>
      </c>
      <c r="AT12">
        <f t="shared" si="29"/>
        <v>0</v>
      </c>
      <c r="AU12">
        <f t="shared" si="30"/>
        <v>6</v>
      </c>
      <c r="AV12">
        <f t="shared" si="31"/>
        <v>-0.14716363636363636</v>
      </c>
      <c r="AW12">
        <f t="shared" si="32"/>
        <v>-0.28278551064900215</v>
      </c>
      <c r="AX12">
        <f t="shared" si="33"/>
        <v>-0.95526066082227479</v>
      </c>
      <c r="AY12">
        <f t="shared" si="34"/>
        <v>-0.60990175410690461</v>
      </c>
      <c r="AZ12">
        <f t="shared" si="35"/>
        <v>0.83870967741935487</v>
      </c>
      <c r="BB12">
        <v>10</v>
      </c>
      <c r="BC12">
        <f t="shared" si="36"/>
        <v>241</v>
      </c>
      <c r="BD12">
        <f t="shared" si="37"/>
        <v>0.43423423423423424</v>
      </c>
      <c r="BE12">
        <f t="shared" si="38"/>
        <v>0</v>
      </c>
      <c r="BF12">
        <f t="shared" si="39"/>
        <v>28</v>
      </c>
      <c r="BG12">
        <f t="shared" si="40"/>
        <v>-0.47214999999999996</v>
      </c>
      <c r="BH12">
        <f t="shared" si="41"/>
        <v>-1.1180054782268434</v>
      </c>
      <c r="BI12">
        <f t="shared" si="42"/>
        <v>-1.1470473771532743</v>
      </c>
      <c r="BJ12">
        <f t="shared" si="43"/>
        <v>0.93630573248407645</v>
      </c>
    </row>
    <row r="13" spans="1:62" x14ac:dyDescent="0.25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62">I11+1.5*I7</f>
        <v>9.5</v>
      </c>
      <c r="J13">
        <f t="shared" si="62"/>
        <v>65</v>
      </c>
      <c r="K13">
        <f t="shared" si="62"/>
        <v>115.5</v>
      </c>
      <c r="L13" t="s">
        <v>10</v>
      </c>
      <c r="S13">
        <v>28</v>
      </c>
      <c r="T13">
        <f t="shared" si="5"/>
        <v>46</v>
      </c>
      <c r="U13">
        <f t="shared" si="6"/>
        <v>4.5400710619818395E-3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10.900553412711721</v>
      </c>
      <c r="Z13">
        <f t="shared" si="14"/>
        <v>3.905416813119797</v>
      </c>
      <c r="AA13">
        <f t="shared" si="15"/>
        <v>4.3478260869565216E-2</v>
      </c>
      <c r="AB13">
        <f t="shared" si="16"/>
        <v>4.2744113591243069</v>
      </c>
      <c r="AC13">
        <f t="shared" si="17"/>
        <v>0.76086956521739135</v>
      </c>
      <c r="AF13">
        <v>12</v>
      </c>
      <c r="AG13">
        <f t="shared" si="18"/>
        <v>13</v>
      </c>
      <c r="AH13">
        <f t="shared" si="19"/>
        <v>1.9345238095238096E-3</v>
      </c>
      <c r="AI13">
        <f t="shared" si="20"/>
        <v>2.3333333333333335</v>
      </c>
      <c r="AJ13">
        <f t="shared" si="21"/>
        <v>9</v>
      </c>
      <c r="AK13">
        <f t="shared" si="22"/>
        <v>0.80940000000000001</v>
      </c>
      <c r="AL13">
        <f t="shared" si="23"/>
        <v>7.5465369780311917</v>
      </c>
      <c r="AM13">
        <f t="shared" si="24"/>
        <v>2.735519165081969</v>
      </c>
      <c r="AN13">
        <f t="shared" si="25"/>
        <v>4.6643775628659636</v>
      </c>
      <c r="AO13">
        <f t="shared" si="26"/>
        <v>0.45</v>
      </c>
      <c r="AQ13">
        <v>18</v>
      </c>
      <c r="AR13">
        <f t="shared" si="27"/>
        <v>1150</v>
      </c>
      <c r="AS13">
        <f t="shared" si="28"/>
        <v>0.98712446351931327</v>
      </c>
      <c r="AT13">
        <f t="shared" si="29"/>
        <v>0</v>
      </c>
      <c r="AU13">
        <f t="shared" si="30"/>
        <v>5</v>
      </c>
      <c r="AV13">
        <f t="shared" si="31"/>
        <v>-0.12263636363636364</v>
      </c>
      <c r="AW13">
        <f t="shared" si="32"/>
        <v>-0.23565459220750182</v>
      </c>
      <c r="AX13">
        <f t="shared" si="33"/>
        <v>-0.95581972870804666</v>
      </c>
      <c r="AY13">
        <f t="shared" si="34"/>
        <v>-0.54183213406225395</v>
      </c>
      <c r="AZ13">
        <f t="shared" si="35"/>
        <v>0.82258064516129037</v>
      </c>
      <c r="BB13">
        <v>11</v>
      </c>
      <c r="BC13">
        <f t="shared" si="36"/>
        <v>260</v>
      </c>
      <c r="BD13">
        <f t="shared" si="37"/>
        <v>0.46846846846846846</v>
      </c>
      <c r="BE13">
        <f t="shared" si="38"/>
        <v>0</v>
      </c>
      <c r="BF13">
        <f t="shared" si="39"/>
        <v>27</v>
      </c>
      <c r="BG13">
        <f t="shared" si="40"/>
        <v>-0.45528750000000001</v>
      </c>
      <c r="BH13">
        <f t="shared" si="41"/>
        <v>-1.0780767111473133</v>
      </c>
      <c r="BI13">
        <f t="shared" si="42"/>
        <v>-1.1060813993978003</v>
      </c>
      <c r="BJ13">
        <f t="shared" si="43"/>
        <v>0.92993630573248409</v>
      </c>
    </row>
    <row r="14" spans="1:62" x14ac:dyDescent="0.25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3">QUARTILE(C:C,1)-1.5*I7</f>
        <v>-2.5</v>
      </c>
      <c r="J14">
        <f t="shared" si="63"/>
        <v>-15</v>
      </c>
      <c r="K14">
        <f t="shared" si="63"/>
        <v>-32.5</v>
      </c>
      <c r="L14" t="s">
        <v>11</v>
      </c>
      <c r="S14">
        <v>30</v>
      </c>
      <c r="T14">
        <f t="shared" si="5"/>
        <v>37</v>
      </c>
      <c r="U14">
        <f t="shared" si="6"/>
        <v>3.651796288985393E-3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11.739057521381854</v>
      </c>
      <c r="Z14">
        <f t="shared" si="14"/>
        <v>4.2058334910520889</v>
      </c>
      <c r="AA14">
        <f t="shared" si="15"/>
        <v>4.3478260869565216E-2</v>
      </c>
      <c r="AB14">
        <f t="shared" si="16"/>
        <v>4.641410134189746</v>
      </c>
      <c r="AC14">
        <f t="shared" si="17"/>
        <v>0.73913043478260865</v>
      </c>
      <c r="AF14">
        <v>14</v>
      </c>
      <c r="AG14">
        <f t="shared" si="18"/>
        <v>16</v>
      </c>
      <c r="AH14">
        <f t="shared" si="19"/>
        <v>2.3809523809523812E-3</v>
      </c>
      <c r="AI14">
        <f t="shared" si="20"/>
        <v>3</v>
      </c>
      <c r="AJ14">
        <f t="shared" si="21"/>
        <v>11</v>
      </c>
      <c r="AK14">
        <f t="shared" si="22"/>
        <v>0.98926666666666674</v>
      </c>
      <c r="AL14">
        <f t="shared" si="23"/>
        <v>9.2235451953714573</v>
      </c>
      <c r="AM14">
        <f t="shared" si="24"/>
        <v>3.343412312877962</v>
      </c>
      <c r="AN14">
        <f t="shared" si="25"/>
        <v>5.7131280571573138</v>
      </c>
      <c r="AO14">
        <f t="shared" si="26"/>
        <v>0.4</v>
      </c>
      <c r="AQ14">
        <v>20</v>
      </c>
      <c r="AR14">
        <f t="shared" si="27"/>
        <v>1128</v>
      </c>
      <c r="AS14">
        <f t="shared" si="28"/>
        <v>0.96824034334763953</v>
      </c>
      <c r="AT14">
        <f t="shared" si="29"/>
        <v>0</v>
      </c>
      <c r="AU14">
        <f t="shared" si="30"/>
        <v>3</v>
      </c>
      <c r="AV14">
        <f t="shared" si="31"/>
        <v>-7.3581818181818179E-2</v>
      </c>
      <c r="AW14">
        <f t="shared" si="32"/>
        <v>-0.14139275532450107</v>
      </c>
      <c r="AX14">
        <f t="shared" si="33"/>
        <v>-0.95663969494051226</v>
      </c>
      <c r="AY14">
        <f t="shared" si="34"/>
        <v>-0.40569289397295244</v>
      </c>
      <c r="AZ14">
        <f t="shared" si="35"/>
        <v>0.80645161290322576</v>
      </c>
      <c r="BB14">
        <v>12</v>
      </c>
      <c r="BC14">
        <f t="shared" si="36"/>
        <v>272</v>
      </c>
      <c r="BD14">
        <f t="shared" si="37"/>
        <v>0.49009009009009008</v>
      </c>
      <c r="BE14">
        <f t="shared" si="38"/>
        <v>0</v>
      </c>
      <c r="BF14">
        <f t="shared" si="39"/>
        <v>26</v>
      </c>
      <c r="BG14">
        <f t="shared" si="40"/>
        <v>-0.43842499999999995</v>
      </c>
      <c r="BH14">
        <f t="shared" si="41"/>
        <v>-1.0381479440677832</v>
      </c>
      <c r="BI14">
        <f t="shared" si="42"/>
        <v>-1.0651154216423262</v>
      </c>
      <c r="BJ14">
        <f t="shared" si="43"/>
        <v>0.92356687898089174</v>
      </c>
    </row>
    <row r="15" spans="1:62" x14ac:dyDescent="0.25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5"/>
        <v>29</v>
      </c>
      <c r="U15">
        <f t="shared" si="6"/>
        <v>2.8622187129885512E-3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12.577561630051987</v>
      </c>
      <c r="Z15">
        <f t="shared" si="14"/>
        <v>4.5062501689843817</v>
      </c>
      <c r="AA15">
        <f t="shared" si="15"/>
        <v>4.3478260869565216E-2</v>
      </c>
      <c r="AB15">
        <f t="shared" si="16"/>
        <v>5.0084089092551842</v>
      </c>
      <c r="AC15">
        <f t="shared" si="17"/>
        <v>0.71739130434782605</v>
      </c>
      <c r="AF15">
        <v>15</v>
      </c>
      <c r="AG15">
        <f t="shared" si="18"/>
        <v>10</v>
      </c>
      <c r="AH15">
        <f t="shared" si="19"/>
        <v>1.488095238095238E-3</v>
      </c>
      <c r="AI15">
        <f t="shared" si="20"/>
        <v>3.3333333333333335</v>
      </c>
      <c r="AJ15">
        <f t="shared" si="21"/>
        <v>12</v>
      </c>
      <c r="AK15">
        <f t="shared" si="22"/>
        <v>1.0791999999999999</v>
      </c>
      <c r="AL15">
        <f t="shared" si="23"/>
        <v>10.062049304041588</v>
      </c>
      <c r="AM15">
        <f t="shared" si="24"/>
        <v>3.6473588867759581</v>
      </c>
      <c r="AN15">
        <f t="shared" si="25"/>
        <v>6.2375033043029893</v>
      </c>
      <c r="AO15">
        <f t="shared" si="26"/>
        <v>0.35</v>
      </c>
      <c r="AQ15">
        <v>22</v>
      </c>
      <c r="AR15">
        <f t="shared" si="27"/>
        <v>1082</v>
      </c>
      <c r="AS15">
        <f t="shared" si="28"/>
        <v>0.92875536480686693</v>
      </c>
      <c r="AT15">
        <f t="shared" si="29"/>
        <v>0</v>
      </c>
      <c r="AU15">
        <f t="shared" si="30"/>
        <v>1</v>
      </c>
      <c r="AV15">
        <f t="shared" si="31"/>
        <v>-2.4527272727272727E-2</v>
      </c>
      <c r="AW15">
        <f t="shared" si="32"/>
        <v>-4.7130918441500365E-2</v>
      </c>
      <c r="AX15">
        <f t="shared" si="33"/>
        <v>-0.95835416979021271</v>
      </c>
      <c r="AY15">
        <f t="shared" si="34"/>
        <v>-0.26955365388365099</v>
      </c>
      <c r="AZ15">
        <f t="shared" si="35"/>
        <v>0.79032258064516125</v>
      </c>
      <c r="BB15">
        <v>13</v>
      </c>
      <c r="BC15">
        <f t="shared" si="36"/>
        <v>254</v>
      </c>
      <c r="BD15">
        <f t="shared" si="37"/>
        <v>0.45765765765765765</v>
      </c>
      <c r="BE15">
        <f t="shared" si="38"/>
        <v>0</v>
      </c>
      <c r="BF15">
        <f t="shared" si="39"/>
        <v>25</v>
      </c>
      <c r="BG15">
        <f t="shared" si="40"/>
        <v>-0.42156250000000001</v>
      </c>
      <c r="BH15">
        <f t="shared" si="41"/>
        <v>-0.99821917698825302</v>
      </c>
      <c r="BI15">
        <f t="shared" si="42"/>
        <v>-1.0241494438868519</v>
      </c>
      <c r="BJ15">
        <f t="shared" si="43"/>
        <v>0.91719745222929938</v>
      </c>
    </row>
    <row r="16" spans="1:62" x14ac:dyDescent="0.25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4">I5+3*I6</f>
        <v>9.3580136530923337</v>
      </c>
      <c r="J16">
        <f t="shared" si="64"/>
        <v>259.90233922102118</v>
      </c>
      <c r="K16">
        <f t="shared" si="64"/>
        <v>712.15763420063217</v>
      </c>
      <c r="L16" t="s">
        <v>12</v>
      </c>
      <c r="S16">
        <v>35</v>
      </c>
      <c r="T16">
        <f t="shared" si="5"/>
        <v>19</v>
      </c>
      <c r="U16">
        <f t="shared" si="6"/>
        <v>1.875246742992499E-3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13.835317793057184</v>
      </c>
      <c r="Z16">
        <f t="shared" si="14"/>
        <v>4.9568751858828195</v>
      </c>
      <c r="AA16">
        <f t="shared" si="15"/>
        <v>6.5217391304347824E-2</v>
      </c>
      <c r="AB16">
        <f t="shared" si="16"/>
        <v>5.5589070718533424</v>
      </c>
      <c r="AC16">
        <f t="shared" si="17"/>
        <v>0.69565217391304346</v>
      </c>
      <c r="AF16">
        <v>16</v>
      </c>
      <c r="AG16">
        <f t="shared" si="18"/>
        <v>5</v>
      </c>
      <c r="AH16">
        <f t="shared" si="19"/>
        <v>7.4404761904761901E-4</v>
      </c>
      <c r="AI16">
        <f t="shared" si="20"/>
        <v>3.6666666666666665</v>
      </c>
      <c r="AJ16">
        <f t="shared" si="21"/>
        <v>13</v>
      </c>
      <c r="AK16">
        <f t="shared" si="22"/>
        <v>1.1691333333333334</v>
      </c>
      <c r="AL16">
        <f t="shared" si="23"/>
        <v>10.900553412711721</v>
      </c>
      <c r="AM16">
        <f t="shared" si="24"/>
        <v>3.9513054606739546</v>
      </c>
      <c r="AN16">
        <f t="shared" si="25"/>
        <v>6.7618785514486648</v>
      </c>
      <c r="AO16">
        <f t="shared" si="26"/>
        <v>0.3</v>
      </c>
      <c r="AQ16">
        <v>23</v>
      </c>
      <c r="AR16">
        <f t="shared" si="27"/>
        <v>1055</v>
      </c>
      <c r="AS16">
        <f t="shared" si="28"/>
        <v>0.90557939914163088</v>
      </c>
      <c r="AT16">
        <f t="shared" si="29"/>
        <v>0</v>
      </c>
      <c r="AU16">
        <f t="shared" si="30"/>
        <v>0</v>
      </c>
      <c r="AV16">
        <f t="shared" si="31"/>
        <v>0</v>
      </c>
      <c r="AW16">
        <f t="shared" si="32"/>
        <v>0</v>
      </c>
      <c r="AX16">
        <f t="shared" si="33"/>
        <v>-0.95936049198460227</v>
      </c>
      <c r="AY16">
        <f t="shared" si="34"/>
        <v>-0.20148403383900026</v>
      </c>
      <c r="AZ16">
        <f t="shared" si="35"/>
        <v>0.77419354838709675</v>
      </c>
      <c r="BB16">
        <v>14</v>
      </c>
      <c r="BC16">
        <f t="shared" si="36"/>
        <v>302</v>
      </c>
      <c r="BD16">
        <f t="shared" si="37"/>
        <v>0.54414414414414414</v>
      </c>
      <c r="BE16">
        <f t="shared" si="38"/>
        <v>0</v>
      </c>
      <c r="BF16">
        <f t="shared" si="39"/>
        <v>24</v>
      </c>
      <c r="BG16">
        <f t="shared" si="40"/>
        <v>-0.40469999999999995</v>
      </c>
      <c r="BH16">
        <f t="shared" si="41"/>
        <v>-0.95829040990872283</v>
      </c>
      <c r="BI16">
        <f t="shared" si="42"/>
        <v>-0.98318346613137797</v>
      </c>
      <c r="BJ16">
        <f t="shared" si="43"/>
        <v>0.91082802547770703</v>
      </c>
    </row>
    <row r="17" spans="1:62" x14ac:dyDescent="0.25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5"/>
        <v>17</v>
      </c>
      <c r="U17">
        <f t="shared" si="6"/>
        <v>1.6778523489932886E-3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15.093073956062383</v>
      </c>
      <c r="Z17">
        <f t="shared" si="14"/>
        <v>5.4075002027812573</v>
      </c>
      <c r="AA17">
        <f t="shared" si="15"/>
        <v>6.5217391304347824E-2</v>
      </c>
      <c r="AB17">
        <f t="shared" si="16"/>
        <v>6.1094052344515006</v>
      </c>
      <c r="AC17">
        <f t="shared" si="17"/>
        <v>0.67391304347826086</v>
      </c>
      <c r="AF17">
        <v>17</v>
      </c>
      <c r="AG17">
        <f t="shared" si="18"/>
        <v>4</v>
      </c>
      <c r="AH17">
        <f t="shared" si="19"/>
        <v>5.9523809523809529E-4</v>
      </c>
      <c r="AI17">
        <f t="shared" si="20"/>
        <v>4</v>
      </c>
      <c r="AJ17">
        <f t="shared" si="21"/>
        <v>14</v>
      </c>
      <c r="AK17">
        <f t="shared" si="22"/>
        <v>1.2590666666666666</v>
      </c>
      <c r="AL17">
        <f t="shared" si="23"/>
        <v>11.739057521381854</v>
      </c>
      <c r="AM17">
        <f t="shared" si="24"/>
        <v>4.2552520345719511</v>
      </c>
      <c r="AN17">
        <f t="shared" si="25"/>
        <v>7.2862537985943394</v>
      </c>
      <c r="AO17">
        <f t="shared" si="26"/>
        <v>0.25</v>
      </c>
      <c r="AQ17">
        <v>25</v>
      </c>
      <c r="AR17">
        <f t="shared" si="27"/>
        <v>998</v>
      </c>
      <c r="AS17">
        <f t="shared" si="28"/>
        <v>0.85665236051502147</v>
      </c>
      <c r="AT17">
        <f t="shared" si="29"/>
        <v>0</v>
      </c>
      <c r="AU17">
        <f t="shared" si="30"/>
        <v>2</v>
      </c>
      <c r="AV17">
        <f t="shared" si="31"/>
        <v>4.9054545454545455E-2</v>
      </c>
      <c r="AW17">
        <f t="shared" si="32"/>
        <v>9.426183688300073E-2</v>
      </c>
      <c r="AX17">
        <f t="shared" si="33"/>
        <v>-0.96148494995053546</v>
      </c>
      <c r="AY17">
        <f t="shared" si="34"/>
        <v>-6.5344793749698787E-2</v>
      </c>
      <c r="AZ17">
        <f t="shared" si="35"/>
        <v>0.75806451612903225</v>
      </c>
      <c r="BB17">
        <v>15</v>
      </c>
      <c r="BC17">
        <f t="shared" si="36"/>
        <v>381</v>
      </c>
      <c r="BD17">
        <f t="shared" si="37"/>
        <v>0.68648648648648647</v>
      </c>
      <c r="BE17">
        <f t="shared" si="38"/>
        <v>0</v>
      </c>
      <c r="BF17">
        <f t="shared" si="39"/>
        <v>23</v>
      </c>
      <c r="BG17">
        <f t="shared" si="40"/>
        <v>-0.3878375</v>
      </c>
      <c r="BH17">
        <f t="shared" si="41"/>
        <v>-0.91836164282919275</v>
      </c>
      <c r="BI17">
        <f t="shared" si="42"/>
        <v>-0.9422174883759038</v>
      </c>
      <c r="BJ17">
        <f t="shared" si="43"/>
        <v>0.90445859872611467</v>
      </c>
    </row>
    <row r="18" spans="1:62" x14ac:dyDescent="0.25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5"/>
        <v>19</v>
      </c>
      <c r="U18">
        <f t="shared" si="6"/>
        <v>1.875246742992499E-3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15.931578064732516</v>
      </c>
      <c r="Z18">
        <f t="shared" si="14"/>
        <v>5.7079168807135492</v>
      </c>
      <c r="AA18">
        <f t="shared" si="15"/>
        <v>4.3478260869565216E-2</v>
      </c>
      <c r="AB18">
        <f t="shared" si="16"/>
        <v>6.4764040095169397</v>
      </c>
      <c r="AC18">
        <f t="shared" si="17"/>
        <v>0.65217391304347827</v>
      </c>
      <c r="AF18">
        <v>18</v>
      </c>
      <c r="AG18">
        <f t="shared" si="18"/>
        <v>4</v>
      </c>
      <c r="AH18">
        <f t="shared" si="19"/>
        <v>5.9523809523809529E-4</v>
      </c>
      <c r="AI18">
        <f t="shared" si="20"/>
        <v>4.333333333333333</v>
      </c>
      <c r="AJ18">
        <f t="shared" si="21"/>
        <v>15</v>
      </c>
      <c r="AK18">
        <f t="shared" si="22"/>
        <v>1.349</v>
      </c>
      <c r="AL18">
        <f t="shared" si="23"/>
        <v>12.577561630051987</v>
      </c>
      <c r="AM18">
        <f t="shared" si="24"/>
        <v>4.5591986084699476</v>
      </c>
      <c r="AN18">
        <f t="shared" si="25"/>
        <v>7.8106290457400149</v>
      </c>
      <c r="AO18">
        <f t="shared" si="26"/>
        <v>0.2</v>
      </c>
      <c r="AQ18">
        <v>27</v>
      </c>
      <c r="AR18">
        <f t="shared" si="27"/>
        <v>941</v>
      </c>
      <c r="AS18">
        <f t="shared" si="28"/>
        <v>0.80772532188841206</v>
      </c>
      <c r="AT18">
        <f t="shared" si="29"/>
        <v>0</v>
      </c>
      <c r="AU18">
        <f t="shared" si="30"/>
        <v>4</v>
      </c>
      <c r="AV18">
        <f t="shared" si="31"/>
        <v>9.810909090909091E-2</v>
      </c>
      <c r="AW18">
        <f t="shared" si="32"/>
        <v>0.18852367376600146</v>
      </c>
      <c r="AX18">
        <f t="shared" si="33"/>
        <v>-0.96360940791646865</v>
      </c>
      <c r="AY18">
        <f t="shared" si="34"/>
        <v>7.0794446339602676E-2</v>
      </c>
      <c r="AZ18">
        <f t="shared" si="35"/>
        <v>0.74193548387096775</v>
      </c>
      <c r="BB18">
        <v>16</v>
      </c>
      <c r="BC18">
        <f t="shared" si="36"/>
        <v>368</v>
      </c>
      <c r="BD18">
        <f t="shared" si="37"/>
        <v>0.66306306306306306</v>
      </c>
      <c r="BE18">
        <f t="shared" si="38"/>
        <v>0</v>
      </c>
      <c r="BF18">
        <f t="shared" si="39"/>
        <v>22</v>
      </c>
      <c r="BG18">
        <f t="shared" si="40"/>
        <v>-0.370975</v>
      </c>
      <c r="BH18">
        <f t="shared" si="41"/>
        <v>-0.87843287574966267</v>
      </c>
      <c r="BI18">
        <f t="shared" si="42"/>
        <v>-0.90125151062042974</v>
      </c>
      <c r="BJ18">
        <f t="shared" si="43"/>
        <v>0.89808917197452232</v>
      </c>
    </row>
    <row r="19" spans="1:62" x14ac:dyDescent="0.25">
      <c r="A19">
        <v>43</v>
      </c>
      <c r="B19">
        <v>0</v>
      </c>
      <c r="C19">
        <v>1</v>
      </c>
      <c r="D19">
        <v>0</v>
      </c>
      <c r="E19">
        <v>13</v>
      </c>
      <c r="G19">
        <f>_xlfn.PERCENTILE.INC(A:A,0.99)</f>
        <v>136</v>
      </c>
      <c r="H19">
        <f t="shared" ref="H19:K19" si="65">_xlfn.PERCENTILE.INC(B:B,0.99)</f>
        <v>28</v>
      </c>
      <c r="I19">
        <f t="shared" si="65"/>
        <v>8</v>
      </c>
      <c r="J19">
        <f t="shared" si="65"/>
        <v>62</v>
      </c>
      <c r="K19">
        <f t="shared" si="65"/>
        <v>115.93999999999869</v>
      </c>
      <c r="S19">
        <v>42</v>
      </c>
      <c r="T19">
        <f t="shared" si="5"/>
        <v>8</v>
      </c>
      <c r="U19">
        <f t="shared" si="6"/>
        <v>7.8957757599684166E-4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16.770082173402649</v>
      </c>
      <c r="Z19">
        <f t="shared" si="14"/>
        <v>6.008333558645842</v>
      </c>
      <c r="AA19">
        <f t="shared" si="15"/>
        <v>6.5217391304347824E-2</v>
      </c>
      <c r="AB19">
        <f t="shared" si="16"/>
        <v>6.8434027845823788</v>
      </c>
      <c r="AC19">
        <f t="shared" si="17"/>
        <v>0.63043478260869568</v>
      </c>
      <c r="AF19">
        <v>20</v>
      </c>
      <c r="AG19">
        <f t="shared" si="18"/>
        <v>1</v>
      </c>
      <c r="AH19">
        <f t="shared" si="19"/>
        <v>1.4880952380952382E-4</v>
      </c>
      <c r="AI19">
        <f t="shared" si="20"/>
        <v>5</v>
      </c>
      <c r="AJ19">
        <f t="shared" si="21"/>
        <v>17</v>
      </c>
      <c r="AK19">
        <f t="shared" si="22"/>
        <v>1.5288666666666666</v>
      </c>
      <c r="AL19">
        <f t="shared" si="23"/>
        <v>14.254569847392251</v>
      </c>
      <c r="AM19">
        <f t="shared" si="24"/>
        <v>5.1670917562659406</v>
      </c>
      <c r="AN19">
        <f t="shared" si="25"/>
        <v>8.8593795400313642</v>
      </c>
      <c r="AO19">
        <f t="shared" si="26"/>
        <v>0.15</v>
      </c>
      <c r="AQ19">
        <v>28</v>
      </c>
      <c r="AR19">
        <f t="shared" si="27"/>
        <v>910</v>
      </c>
      <c r="AS19">
        <f t="shared" si="28"/>
        <v>0.7811158798283262</v>
      </c>
      <c r="AT19">
        <f t="shared" si="29"/>
        <v>0</v>
      </c>
      <c r="AU19">
        <f t="shared" si="30"/>
        <v>5</v>
      </c>
      <c r="AV19">
        <f t="shared" si="31"/>
        <v>0.12263636363636364</v>
      </c>
      <c r="AW19">
        <f t="shared" si="32"/>
        <v>0.23565459220750182</v>
      </c>
      <c r="AX19">
        <f t="shared" si="33"/>
        <v>-0.96476481488039723</v>
      </c>
      <c r="AY19">
        <f t="shared" si="34"/>
        <v>0.13886406638425342</v>
      </c>
      <c r="AZ19">
        <f t="shared" si="35"/>
        <v>0.72580645161290325</v>
      </c>
      <c r="BB19">
        <v>17</v>
      </c>
      <c r="BC19">
        <f t="shared" si="36"/>
        <v>373</v>
      </c>
      <c r="BD19">
        <f t="shared" si="37"/>
        <v>0.67207207207207209</v>
      </c>
      <c r="BE19">
        <f t="shared" si="38"/>
        <v>0</v>
      </c>
      <c r="BF19">
        <f t="shared" si="39"/>
        <v>21</v>
      </c>
      <c r="BG19">
        <f t="shared" si="40"/>
        <v>-0.3541125</v>
      </c>
      <c r="BH19">
        <f t="shared" si="41"/>
        <v>-0.83850410867013248</v>
      </c>
      <c r="BI19">
        <f t="shared" si="42"/>
        <v>-0.86028553286495568</v>
      </c>
      <c r="BJ19">
        <f t="shared" si="43"/>
        <v>0.89171974522292996</v>
      </c>
    </row>
    <row r="20" spans="1:62" x14ac:dyDescent="0.25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 t="shared" ref="H20:K20" si="66">_xlfn.PERCENTILE.INC(B:B,0.75)</f>
        <v>5</v>
      </c>
      <c r="I20">
        <f t="shared" si="66"/>
        <v>5</v>
      </c>
      <c r="J20">
        <f t="shared" si="66"/>
        <v>35</v>
      </c>
      <c r="K20">
        <f t="shared" si="66"/>
        <v>60</v>
      </c>
      <c r="S20">
        <v>45</v>
      </c>
      <c r="T20">
        <f t="shared" si="5"/>
        <v>7</v>
      </c>
      <c r="U20">
        <f t="shared" si="6"/>
        <v>6.9088037899723643E-4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18.027838336407846</v>
      </c>
      <c r="Z20">
        <f t="shared" si="14"/>
        <v>6.4589585755442798</v>
      </c>
      <c r="AA20">
        <f t="shared" si="15"/>
        <v>6.5217391304347824E-2</v>
      </c>
      <c r="AB20">
        <f t="shared" si="16"/>
        <v>7.393900947180537</v>
      </c>
      <c r="AC20">
        <f t="shared" si="17"/>
        <v>0.60869565217391308</v>
      </c>
      <c r="AF20">
        <v>22</v>
      </c>
      <c r="AG20">
        <f t="shared" si="18"/>
        <v>1</v>
      </c>
      <c r="AH20">
        <f t="shared" si="19"/>
        <v>1.4880952380952382E-4</v>
      </c>
      <c r="AI20">
        <f t="shared" si="20"/>
        <v>5.666666666666667</v>
      </c>
      <c r="AJ20">
        <f t="shared" si="21"/>
        <v>19</v>
      </c>
      <c r="AK20">
        <f t="shared" si="22"/>
        <v>1.7087333333333334</v>
      </c>
      <c r="AL20">
        <f t="shared" si="23"/>
        <v>15.931578064732516</v>
      </c>
      <c r="AM20">
        <f t="shared" si="24"/>
        <v>5.7749849040619345</v>
      </c>
      <c r="AN20">
        <f t="shared" si="25"/>
        <v>9.9081300343227152</v>
      </c>
      <c r="AO20">
        <f t="shared" si="26"/>
        <v>0.1</v>
      </c>
      <c r="AQ20">
        <v>30</v>
      </c>
      <c r="AR20">
        <f t="shared" si="27"/>
        <v>798</v>
      </c>
      <c r="AS20">
        <f t="shared" si="28"/>
        <v>0.68497854077253217</v>
      </c>
      <c r="AT20">
        <f t="shared" si="29"/>
        <v>0</v>
      </c>
      <c r="AU20">
        <f t="shared" si="30"/>
        <v>7</v>
      </c>
      <c r="AV20">
        <f t="shared" si="31"/>
        <v>0.17169090909090909</v>
      </c>
      <c r="AW20">
        <f t="shared" si="32"/>
        <v>0.32991642909050256</v>
      </c>
      <c r="AX20">
        <f t="shared" si="33"/>
        <v>-0.96893918842749416</v>
      </c>
      <c r="AY20">
        <f t="shared" si="34"/>
        <v>0.27500330647355486</v>
      </c>
      <c r="AZ20">
        <f t="shared" si="35"/>
        <v>0.70967741935483875</v>
      </c>
      <c r="BB20">
        <v>18</v>
      </c>
      <c r="BC20">
        <f t="shared" si="36"/>
        <v>382</v>
      </c>
      <c r="BD20">
        <f t="shared" si="37"/>
        <v>0.68828828828828825</v>
      </c>
      <c r="BE20">
        <f t="shared" si="38"/>
        <v>0</v>
      </c>
      <c r="BF20">
        <f t="shared" si="39"/>
        <v>20</v>
      </c>
      <c r="BG20">
        <f t="shared" si="40"/>
        <v>-0.33724999999999999</v>
      </c>
      <c r="BH20">
        <f t="shared" si="41"/>
        <v>-0.79857534159060239</v>
      </c>
      <c r="BI20">
        <f t="shared" si="42"/>
        <v>-0.81931955510948162</v>
      </c>
      <c r="BJ20">
        <f t="shared" si="43"/>
        <v>0.88535031847133761</v>
      </c>
    </row>
    <row r="21" spans="1:62" x14ac:dyDescent="0.25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7">_xlfn.PERCENTILE.INC(B:B,0.25)</f>
        <v>2</v>
      </c>
      <c r="I21">
        <f t="shared" si="67"/>
        <v>2</v>
      </c>
      <c r="J21">
        <f t="shared" si="67"/>
        <v>15</v>
      </c>
      <c r="K21">
        <f t="shared" si="67"/>
        <v>23</v>
      </c>
      <c r="S21">
        <v>48</v>
      </c>
      <c r="T21">
        <f t="shared" si="5"/>
        <v>5</v>
      </c>
      <c r="U21">
        <f t="shared" si="6"/>
        <v>4.9348598499802606E-4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19.285594499413044</v>
      </c>
      <c r="Z21">
        <f t="shared" si="14"/>
        <v>6.9095835924427176</v>
      </c>
      <c r="AA21">
        <f t="shared" si="15"/>
        <v>0.10869565217391304</v>
      </c>
      <c r="AB21">
        <f t="shared" si="16"/>
        <v>7.9443991097786952</v>
      </c>
      <c r="AC21">
        <f t="shared" si="17"/>
        <v>0.58695652173913049</v>
      </c>
      <c r="AF21">
        <v>23</v>
      </c>
      <c r="AG21">
        <f t="shared" si="18"/>
        <v>1</v>
      </c>
      <c r="AH21">
        <f t="shared" si="19"/>
        <v>1.4880952380952382E-4</v>
      </c>
      <c r="AI21">
        <f t="shared" si="20"/>
        <v>6</v>
      </c>
      <c r="AJ21">
        <f t="shared" si="21"/>
        <v>20</v>
      </c>
      <c r="AK21">
        <f t="shared" si="22"/>
        <v>1.7986666666666666</v>
      </c>
      <c r="AL21">
        <f t="shared" si="23"/>
        <v>16.770082173402649</v>
      </c>
      <c r="AM21">
        <f t="shared" si="24"/>
        <v>6.0789314779599311</v>
      </c>
      <c r="AN21">
        <f t="shared" si="25"/>
        <v>10.432505281468391</v>
      </c>
      <c r="AO21">
        <f t="shared" si="26"/>
        <v>0.05</v>
      </c>
      <c r="AQ21">
        <v>32</v>
      </c>
      <c r="AR21">
        <f t="shared" si="27"/>
        <v>807</v>
      </c>
      <c r="AS21">
        <f t="shared" si="28"/>
        <v>0.69270386266094419</v>
      </c>
      <c r="AT21">
        <f t="shared" si="29"/>
        <v>0</v>
      </c>
      <c r="AU21">
        <f t="shared" si="30"/>
        <v>9</v>
      </c>
      <c r="AV21">
        <f t="shared" si="31"/>
        <v>0.22074545454545455</v>
      </c>
      <c r="AW21">
        <f t="shared" si="32"/>
        <v>0.42417826597350328</v>
      </c>
      <c r="AX21">
        <f t="shared" si="33"/>
        <v>-0.96860374769603108</v>
      </c>
      <c r="AY21">
        <f t="shared" si="34"/>
        <v>0.41114254656285637</v>
      </c>
      <c r="AZ21">
        <f t="shared" si="35"/>
        <v>0.69354838709677424</v>
      </c>
      <c r="BB21">
        <v>19</v>
      </c>
      <c r="BC21">
        <f t="shared" si="36"/>
        <v>553</v>
      </c>
      <c r="BD21">
        <f t="shared" si="37"/>
        <v>0.99639639639639643</v>
      </c>
      <c r="BE21">
        <f t="shared" si="38"/>
        <v>0</v>
      </c>
      <c r="BF21">
        <f t="shared" si="39"/>
        <v>19</v>
      </c>
      <c r="BG21">
        <f t="shared" si="40"/>
        <v>-0.32038749999999999</v>
      </c>
      <c r="BH21">
        <f t="shared" si="41"/>
        <v>-0.75864657451107231</v>
      </c>
      <c r="BI21">
        <f t="shared" si="42"/>
        <v>-0.77835357735400756</v>
      </c>
      <c r="BJ21">
        <f t="shared" si="43"/>
        <v>0.87898089171974525</v>
      </c>
    </row>
    <row r="22" spans="1:62" x14ac:dyDescent="0.25">
      <c r="A22">
        <v>45</v>
      </c>
      <c r="B22">
        <v>0</v>
      </c>
      <c r="C22">
        <v>1</v>
      </c>
      <c r="D22">
        <v>0</v>
      </c>
      <c r="E22">
        <v>5</v>
      </c>
      <c r="G22">
        <f>_xlfn.PERCENTILE.INC(A:A,0.01)</f>
        <v>18</v>
      </c>
      <c r="H22">
        <f>_xlfn.PERCENTILE.INC(B:B,0.01)</f>
        <v>0</v>
      </c>
      <c r="I22">
        <f>_xlfn.PERCENTILE.INC(C:C,0.01)</f>
        <v>0</v>
      </c>
      <c r="J22">
        <f>_xlfn.PERCENTILE.INC(D:D,0.01)</f>
        <v>2</v>
      </c>
      <c r="K22">
        <f>_xlfn.PERCENTILE.INC(E:E,0.01)</f>
        <v>5</v>
      </c>
      <c r="S22">
        <v>50</v>
      </c>
      <c r="T22">
        <f t="shared" si="5"/>
        <v>6</v>
      </c>
      <c r="U22">
        <f t="shared" si="6"/>
        <v>5.921831819976313E-4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20.124098608083177</v>
      </c>
      <c r="Z22">
        <f t="shared" si="14"/>
        <v>7.2100002703750103</v>
      </c>
      <c r="AA22">
        <f t="shared" si="15"/>
        <v>8.6956521739130432E-2</v>
      </c>
      <c r="AB22">
        <f t="shared" si="16"/>
        <v>8.3113978848441334</v>
      </c>
      <c r="AC22">
        <f t="shared" si="17"/>
        <v>0.56521739130434778</v>
      </c>
      <c r="AG22">
        <f>MAX(AG2:AG21)</f>
        <v>6720</v>
      </c>
      <c r="AJ22">
        <f>MEDIAN(AJ2:AJ21)</f>
        <v>7.5</v>
      </c>
      <c r="AQ22">
        <v>33</v>
      </c>
      <c r="AR22">
        <f t="shared" si="27"/>
        <v>715</v>
      </c>
      <c r="AS22">
        <f t="shared" si="28"/>
        <v>0.61373390557939911</v>
      </c>
      <c r="AT22">
        <f t="shared" si="29"/>
        <v>0</v>
      </c>
      <c r="AU22">
        <f t="shared" si="30"/>
        <v>10</v>
      </c>
      <c r="AV22">
        <f t="shared" si="31"/>
        <v>0.24527272727272728</v>
      </c>
      <c r="AW22">
        <f t="shared" si="32"/>
        <v>0.47130918441500363</v>
      </c>
      <c r="AX22">
        <f t="shared" si="33"/>
        <v>-0.9720326973954323</v>
      </c>
      <c r="AY22">
        <f t="shared" si="34"/>
        <v>0.4792121666075071</v>
      </c>
      <c r="AZ22">
        <f t="shared" si="35"/>
        <v>0.67741935483870963</v>
      </c>
      <c r="BB22">
        <v>20</v>
      </c>
      <c r="BC22">
        <f t="shared" si="36"/>
        <v>369</v>
      </c>
      <c r="BD22">
        <f t="shared" si="37"/>
        <v>0.66486486486486485</v>
      </c>
      <c r="BE22">
        <f t="shared" si="38"/>
        <v>0</v>
      </c>
      <c r="BF22">
        <f t="shared" si="39"/>
        <v>18</v>
      </c>
      <c r="BG22">
        <f t="shared" si="40"/>
        <v>-0.30352499999999999</v>
      </c>
      <c r="BH22">
        <f t="shared" si="41"/>
        <v>-0.71871780743154212</v>
      </c>
      <c r="BI22">
        <f t="shared" si="42"/>
        <v>-0.73738759959853339</v>
      </c>
      <c r="BJ22">
        <f t="shared" si="43"/>
        <v>0.87261146496815289</v>
      </c>
    </row>
    <row r="23" spans="1:62" x14ac:dyDescent="0.25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5"/>
        <v>2</v>
      </c>
      <c r="U23">
        <f t="shared" si="6"/>
        <v>1.9739439399921041E-4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20.543350662418245</v>
      </c>
      <c r="Z23">
        <f t="shared" si="14"/>
        <v>7.3602086093411563</v>
      </c>
      <c r="AA23">
        <f t="shared" si="15"/>
        <v>0.30434782608695654</v>
      </c>
      <c r="AB23">
        <f t="shared" si="16"/>
        <v>8.4948972723768534</v>
      </c>
      <c r="AC23">
        <f t="shared" si="17"/>
        <v>0.54347826086956519</v>
      </c>
      <c r="AQ23">
        <v>35</v>
      </c>
      <c r="AR23">
        <f t="shared" si="27"/>
        <v>587</v>
      </c>
      <c r="AS23">
        <f t="shared" si="28"/>
        <v>0.50386266094420595</v>
      </c>
      <c r="AT23">
        <f t="shared" si="29"/>
        <v>0</v>
      </c>
      <c r="AU23">
        <f t="shared" si="30"/>
        <v>12</v>
      </c>
      <c r="AV23">
        <f t="shared" si="31"/>
        <v>0.29432727272727272</v>
      </c>
      <c r="AW23">
        <f t="shared" si="32"/>
        <v>0.5655710212980043</v>
      </c>
      <c r="AX23">
        <f t="shared" si="33"/>
        <v>-0.97680341002068571</v>
      </c>
      <c r="AY23">
        <f t="shared" si="34"/>
        <v>0.61535140669680854</v>
      </c>
      <c r="AZ23">
        <f t="shared" si="35"/>
        <v>0.66129032258064513</v>
      </c>
      <c r="BB23">
        <v>21</v>
      </c>
      <c r="BC23">
        <f t="shared" si="36"/>
        <v>401</v>
      </c>
      <c r="BD23">
        <f t="shared" si="37"/>
        <v>0.72252252252252247</v>
      </c>
      <c r="BE23">
        <f t="shared" si="38"/>
        <v>0</v>
      </c>
      <c r="BF23">
        <f t="shared" si="39"/>
        <v>17</v>
      </c>
      <c r="BG23">
        <f t="shared" si="40"/>
        <v>-0.28666249999999999</v>
      </c>
      <c r="BH23">
        <f t="shared" si="41"/>
        <v>-0.67878904035201204</v>
      </c>
      <c r="BI23">
        <f t="shared" si="42"/>
        <v>-0.69642162184305934</v>
      </c>
      <c r="BJ23">
        <f t="shared" si="43"/>
        <v>0.86624203821656054</v>
      </c>
    </row>
    <row r="24" spans="1:62" x14ac:dyDescent="0.25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5"/>
        <v>8</v>
      </c>
      <c r="U24">
        <f t="shared" si="6"/>
        <v>7.8957757599684166E-4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20.96260271675331</v>
      </c>
      <c r="Z24">
        <f t="shared" si="14"/>
        <v>7.5104169483073022</v>
      </c>
      <c r="AA24">
        <f t="shared" si="15"/>
        <v>4.3478260869565216E-2</v>
      </c>
      <c r="AB24">
        <f t="shared" si="16"/>
        <v>8.6783966599095734</v>
      </c>
      <c r="AC24">
        <f t="shared" si="17"/>
        <v>0.52173913043478259</v>
      </c>
      <c r="AQ24">
        <v>37</v>
      </c>
      <c r="AR24">
        <f t="shared" si="27"/>
        <v>645</v>
      </c>
      <c r="AS24">
        <f t="shared" si="28"/>
        <v>0.55364806866952787</v>
      </c>
      <c r="AT24">
        <f t="shared" si="29"/>
        <v>0.1</v>
      </c>
      <c r="AU24">
        <f t="shared" si="30"/>
        <v>14</v>
      </c>
      <c r="AV24">
        <f t="shared" si="31"/>
        <v>0.34338181818181818</v>
      </c>
      <c r="AW24">
        <f t="shared" si="32"/>
        <v>0.65983285818100512</v>
      </c>
      <c r="AX24">
        <f t="shared" si="33"/>
        <v>-0.9746416808623678</v>
      </c>
      <c r="AY24">
        <f t="shared" si="34"/>
        <v>0.75149064678610999</v>
      </c>
      <c r="AZ24">
        <f t="shared" si="35"/>
        <v>0.64516129032258063</v>
      </c>
      <c r="BB24">
        <v>22</v>
      </c>
      <c r="BC24">
        <f t="shared" si="36"/>
        <v>382</v>
      </c>
      <c r="BD24">
        <f t="shared" si="37"/>
        <v>0.68828828828828825</v>
      </c>
      <c r="BE24">
        <f t="shared" si="38"/>
        <v>0</v>
      </c>
      <c r="BF24">
        <f t="shared" si="39"/>
        <v>16</v>
      </c>
      <c r="BG24">
        <f t="shared" si="40"/>
        <v>-0.26979999999999998</v>
      </c>
      <c r="BH24">
        <f t="shared" si="41"/>
        <v>-0.63886027327248196</v>
      </c>
      <c r="BI24">
        <f t="shared" si="42"/>
        <v>-0.65545564408758528</v>
      </c>
      <c r="BJ24">
        <f t="shared" si="43"/>
        <v>0.85987261146496818</v>
      </c>
    </row>
    <row r="25" spans="1:62" x14ac:dyDescent="0.25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5"/>
        <v>6</v>
      </c>
      <c r="U25">
        <f t="shared" si="6"/>
        <v>5.921831819976313E-4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21.381854771088378</v>
      </c>
      <c r="Z25">
        <f t="shared" si="14"/>
        <v>7.6606252872734482</v>
      </c>
      <c r="AA25">
        <f t="shared" si="15"/>
        <v>4.3478260869565216E-2</v>
      </c>
      <c r="AB25">
        <f t="shared" si="16"/>
        <v>8.8618960474422916</v>
      </c>
      <c r="AC25">
        <f t="shared" si="17"/>
        <v>0.5</v>
      </c>
      <c r="AQ25">
        <v>38</v>
      </c>
      <c r="AR25">
        <f t="shared" si="27"/>
        <v>542</v>
      </c>
      <c r="AS25">
        <f t="shared" si="28"/>
        <v>0.46523605150214592</v>
      </c>
      <c r="AT25">
        <f t="shared" si="29"/>
        <v>0.15</v>
      </c>
      <c r="AU25">
        <f t="shared" si="30"/>
        <v>15</v>
      </c>
      <c r="AV25">
        <f t="shared" si="31"/>
        <v>0.36790909090909091</v>
      </c>
      <c r="AW25">
        <f t="shared" si="32"/>
        <v>0.70696377662250542</v>
      </c>
      <c r="AX25">
        <f t="shared" si="33"/>
        <v>-0.97848061367800165</v>
      </c>
      <c r="AY25">
        <f t="shared" si="34"/>
        <v>0.81956026683076078</v>
      </c>
      <c r="AZ25">
        <f t="shared" si="35"/>
        <v>0.62903225806451613</v>
      </c>
      <c r="BB25">
        <v>23</v>
      </c>
      <c r="BC25">
        <f t="shared" si="36"/>
        <v>453</v>
      </c>
      <c r="BD25">
        <f t="shared" si="37"/>
        <v>0.81621621621621621</v>
      </c>
      <c r="BE25">
        <f t="shared" si="38"/>
        <v>0</v>
      </c>
      <c r="BF25">
        <f t="shared" si="39"/>
        <v>15</v>
      </c>
      <c r="BG25">
        <f t="shared" si="40"/>
        <v>-0.25293749999999998</v>
      </c>
      <c r="BH25">
        <f t="shared" si="41"/>
        <v>-0.59893150619295177</v>
      </c>
      <c r="BI25">
        <f t="shared" si="42"/>
        <v>-0.61448966633211122</v>
      </c>
      <c r="BJ25">
        <f t="shared" si="43"/>
        <v>0.85350318471337583</v>
      </c>
    </row>
    <row r="26" spans="1:62" x14ac:dyDescent="0.25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5"/>
        <v>4</v>
      </c>
      <c r="U26">
        <f t="shared" si="6"/>
        <v>3.9478878799842083E-4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21.801106825423442</v>
      </c>
      <c r="Z26">
        <f t="shared" si="14"/>
        <v>7.8108336262395941</v>
      </c>
      <c r="AA26">
        <f t="shared" si="15"/>
        <v>6.5217391304347824E-2</v>
      </c>
      <c r="AB26">
        <f t="shared" si="16"/>
        <v>9.0453954349750116</v>
      </c>
      <c r="AC26">
        <f t="shared" si="17"/>
        <v>0.47826086956521741</v>
      </c>
      <c r="AQ26">
        <v>40</v>
      </c>
      <c r="AR26">
        <f t="shared" si="27"/>
        <v>481</v>
      </c>
      <c r="AS26">
        <f t="shared" si="28"/>
        <v>0.4128755364806867</v>
      </c>
      <c r="AT26">
        <f t="shared" si="29"/>
        <v>0.25</v>
      </c>
      <c r="AU26">
        <f t="shared" si="30"/>
        <v>17</v>
      </c>
      <c r="AV26">
        <f t="shared" si="31"/>
        <v>0.41696363636363637</v>
      </c>
      <c r="AW26">
        <f t="shared" si="32"/>
        <v>0.80122561350550625</v>
      </c>
      <c r="AX26">
        <f t="shared" si="33"/>
        <v>-0.98075415641347408</v>
      </c>
      <c r="AY26">
        <f t="shared" si="34"/>
        <v>0.95569950692006223</v>
      </c>
      <c r="AZ26">
        <f t="shared" si="35"/>
        <v>0.61290322580645162</v>
      </c>
      <c r="BB26">
        <v>24</v>
      </c>
      <c r="BC26">
        <f t="shared" si="36"/>
        <v>411</v>
      </c>
      <c r="BD26">
        <f t="shared" si="37"/>
        <v>0.74054054054054053</v>
      </c>
      <c r="BE26">
        <f t="shared" si="38"/>
        <v>0</v>
      </c>
      <c r="BF26">
        <f t="shared" si="39"/>
        <v>14</v>
      </c>
      <c r="BG26">
        <f t="shared" si="40"/>
        <v>-0.23607499999999998</v>
      </c>
      <c r="BH26">
        <f t="shared" si="41"/>
        <v>-0.55900273911342169</v>
      </c>
      <c r="BI26">
        <f t="shared" si="42"/>
        <v>-0.57352368857663716</v>
      </c>
      <c r="BJ26">
        <f t="shared" si="43"/>
        <v>0.84713375796178347</v>
      </c>
    </row>
    <row r="27" spans="1:62" x14ac:dyDescent="0.25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5"/>
        <v>2</v>
      </c>
      <c r="U27">
        <f t="shared" si="6"/>
        <v>1.9739439399921041E-4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22.220358879758511</v>
      </c>
      <c r="Z27">
        <f t="shared" si="14"/>
        <v>7.96104196520574</v>
      </c>
      <c r="AA27">
        <f t="shared" si="15"/>
        <v>0.21739130434782608</v>
      </c>
      <c r="AB27">
        <f t="shared" si="16"/>
        <v>9.2288948225077316</v>
      </c>
      <c r="AC27">
        <f t="shared" si="17"/>
        <v>0.45652173913043476</v>
      </c>
      <c r="AQ27">
        <v>42</v>
      </c>
      <c r="AR27">
        <f t="shared" si="27"/>
        <v>468</v>
      </c>
      <c r="AS27">
        <f t="shared" si="28"/>
        <v>0.40171673819742487</v>
      </c>
      <c r="AT27">
        <f t="shared" si="29"/>
        <v>0.35</v>
      </c>
      <c r="AU27">
        <f t="shared" si="30"/>
        <v>19</v>
      </c>
      <c r="AV27">
        <f t="shared" si="31"/>
        <v>0.46601818181818183</v>
      </c>
      <c r="AW27">
        <f t="shared" si="32"/>
        <v>0.89548745038850697</v>
      </c>
      <c r="AX27">
        <f t="shared" si="33"/>
        <v>-0.98123868191447638</v>
      </c>
      <c r="AY27">
        <f t="shared" si="34"/>
        <v>1.0918387470093638</v>
      </c>
      <c r="AZ27">
        <f t="shared" si="35"/>
        <v>0.59677419354838712</v>
      </c>
      <c r="BB27">
        <v>25</v>
      </c>
      <c r="BC27">
        <f t="shared" si="36"/>
        <v>400</v>
      </c>
      <c r="BD27">
        <f t="shared" si="37"/>
        <v>0.72072072072072069</v>
      </c>
      <c r="BE27">
        <f t="shared" si="38"/>
        <v>0</v>
      </c>
      <c r="BF27">
        <f t="shared" si="39"/>
        <v>13</v>
      </c>
      <c r="BG27">
        <f t="shared" si="40"/>
        <v>-0.21921249999999998</v>
      </c>
      <c r="BH27">
        <f t="shared" si="41"/>
        <v>-0.51907397203389161</v>
      </c>
      <c r="BI27">
        <f t="shared" si="42"/>
        <v>-0.5325577108211631</v>
      </c>
      <c r="BJ27">
        <f t="shared" si="43"/>
        <v>0.84076433121019112</v>
      </c>
    </row>
    <row r="28" spans="1:62" x14ac:dyDescent="0.25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5"/>
        <v>4</v>
      </c>
      <c r="U28">
        <f t="shared" si="6"/>
        <v>3.9478878799842083E-4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22.639610934093575</v>
      </c>
      <c r="Z28">
        <f t="shared" si="14"/>
        <v>8.111250304171886</v>
      </c>
      <c r="AA28">
        <f t="shared" si="15"/>
        <v>4.3478260869565216E-2</v>
      </c>
      <c r="AB28">
        <f t="shared" si="16"/>
        <v>9.4123942100404498</v>
      </c>
      <c r="AC28">
        <f t="shared" si="17"/>
        <v>0.43478260869565216</v>
      </c>
      <c r="AQ28">
        <v>43</v>
      </c>
      <c r="AR28">
        <f t="shared" si="27"/>
        <v>398</v>
      </c>
      <c r="AS28">
        <f t="shared" si="28"/>
        <v>0.34163090128755363</v>
      </c>
      <c r="AT28">
        <f t="shared" si="29"/>
        <v>0.4</v>
      </c>
      <c r="AU28">
        <f t="shared" si="30"/>
        <v>20</v>
      </c>
      <c r="AV28">
        <f t="shared" si="31"/>
        <v>0.49054545454545456</v>
      </c>
      <c r="AW28">
        <f t="shared" si="32"/>
        <v>0.94261836883000727</v>
      </c>
      <c r="AX28">
        <f t="shared" si="33"/>
        <v>-0.98384766538141188</v>
      </c>
      <c r="AY28">
        <f t="shared" si="34"/>
        <v>1.1599083670540145</v>
      </c>
      <c r="AZ28">
        <f t="shared" si="35"/>
        <v>0.58064516129032262</v>
      </c>
      <c r="BB28">
        <v>26</v>
      </c>
      <c r="BC28">
        <f t="shared" si="36"/>
        <v>400</v>
      </c>
      <c r="BD28">
        <f t="shared" si="37"/>
        <v>0.72072072072072069</v>
      </c>
      <c r="BE28">
        <f t="shared" si="38"/>
        <v>0</v>
      </c>
      <c r="BF28">
        <f t="shared" si="39"/>
        <v>12</v>
      </c>
      <c r="BG28">
        <f t="shared" si="40"/>
        <v>-0.20234999999999997</v>
      </c>
      <c r="BH28">
        <f t="shared" si="41"/>
        <v>-0.47914520495436141</v>
      </c>
      <c r="BI28">
        <f t="shared" si="42"/>
        <v>-0.49159173306568898</v>
      </c>
      <c r="BJ28">
        <f t="shared" si="43"/>
        <v>0.83439490445859876</v>
      </c>
    </row>
    <row r="29" spans="1:62" x14ac:dyDescent="0.25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5"/>
        <v>2</v>
      </c>
      <c r="U29">
        <f t="shared" si="6"/>
        <v>1.9739439399921041E-4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23.05886298842864</v>
      </c>
      <c r="Z29">
        <f t="shared" si="14"/>
        <v>8.2614586431380328</v>
      </c>
      <c r="AA29">
        <f t="shared" si="15"/>
        <v>0.17391304347826086</v>
      </c>
      <c r="AB29">
        <f t="shared" si="16"/>
        <v>9.5958935975731698</v>
      </c>
      <c r="AC29">
        <f t="shared" si="17"/>
        <v>0.41304347826086957</v>
      </c>
      <c r="AQ29">
        <v>45</v>
      </c>
      <c r="AR29">
        <f t="shared" si="27"/>
        <v>342</v>
      </c>
      <c r="AS29">
        <f t="shared" si="28"/>
        <v>0.29356223175965668</v>
      </c>
      <c r="AT29">
        <f t="shared" si="29"/>
        <v>0.5</v>
      </c>
      <c r="AU29">
        <f t="shared" si="30"/>
        <v>22</v>
      </c>
      <c r="AV29">
        <f t="shared" si="31"/>
        <v>0.53959999999999997</v>
      </c>
      <c r="AW29">
        <f t="shared" si="32"/>
        <v>1.036880205713008</v>
      </c>
      <c r="AX29">
        <f t="shared" si="33"/>
        <v>-0.98593485215496035</v>
      </c>
      <c r="AY29">
        <f t="shared" si="34"/>
        <v>1.2960476071433158</v>
      </c>
      <c r="AZ29">
        <f t="shared" si="35"/>
        <v>0.56451612903225812</v>
      </c>
      <c r="BB29">
        <v>27</v>
      </c>
      <c r="BC29">
        <f t="shared" si="36"/>
        <v>396</v>
      </c>
      <c r="BD29">
        <f t="shared" si="37"/>
        <v>0.71351351351351355</v>
      </c>
      <c r="BE29">
        <f t="shared" si="38"/>
        <v>0</v>
      </c>
      <c r="BF29">
        <f t="shared" si="39"/>
        <v>11</v>
      </c>
      <c r="BG29">
        <f t="shared" si="40"/>
        <v>-0.1854875</v>
      </c>
      <c r="BH29">
        <f t="shared" si="41"/>
        <v>-0.43921643787483133</v>
      </c>
      <c r="BI29">
        <f t="shared" si="42"/>
        <v>-0.45062575531021487</v>
      </c>
      <c r="BJ29">
        <f t="shared" si="43"/>
        <v>0.82802547770700641</v>
      </c>
    </row>
    <row r="30" spans="1:62" x14ac:dyDescent="0.25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5"/>
        <v>2</v>
      </c>
      <c r="U30">
        <f t="shared" si="6"/>
        <v>1.9739439399921041E-4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23.897367097098773</v>
      </c>
      <c r="Z30">
        <f t="shared" si="14"/>
        <v>8.5618753210703247</v>
      </c>
      <c r="AA30">
        <f t="shared" si="15"/>
        <v>0.15217391304347827</v>
      </c>
      <c r="AB30">
        <f t="shared" si="16"/>
        <v>9.9628923726386081</v>
      </c>
      <c r="AC30">
        <f t="shared" si="17"/>
        <v>0.39130434782608697</v>
      </c>
      <c r="AQ30">
        <v>47</v>
      </c>
      <c r="AR30">
        <f t="shared" si="27"/>
        <v>374</v>
      </c>
      <c r="AS30">
        <f t="shared" si="28"/>
        <v>0.32103004291845494</v>
      </c>
      <c r="AT30">
        <f t="shared" si="29"/>
        <v>0.6</v>
      </c>
      <c r="AU30">
        <f t="shared" si="30"/>
        <v>24</v>
      </c>
      <c r="AV30">
        <f t="shared" si="31"/>
        <v>0.58865454545454543</v>
      </c>
      <c r="AW30">
        <f t="shared" si="32"/>
        <v>1.1311420425960086</v>
      </c>
      <c r="AX30">
        <f t="shared" si="33"/>
        <v>-0.98474217399864694</v>
      </c>
      <c r="AY30">
        <f t="shared" si="34"/>
        <v>1.4321868472326174</v>
      </c>
      <c r="AZ30">
        <f t="shared" si="35"/>
        <v>0.54838709677419351</v>
      </c>
      <c r="BB30">
        <v>28</v>
      </c>
      <c r="BC30">
        <f t="shared" si="36"/>
        <v>492</v>
      </c>
      <c r="BD30">
        <f t="shared" si="37"/>
        <v>0.88648648648648654</v>
      </c>
      <c r="BE30">
        <f t="shared" si="38"/>
        <v>0</v>
      </c>
      <c r="BF30">
        <f t="shared" si="39"/>
        <v>10</v>
      </c>
      <c r="BG30">
        <f t="shared" si="40"/>
        <v>-0.168625</v>
      </c>
      <c r="BH30">
        <f t="shared" si="41"/>
        <v>-0.3992876707953012</v>
      </c>
      <c r="BI30">
        <f t="shared" si="42"/>
        <v>-0.40965977755474081</v>
      </c>
      <c r="BJ30">
        <f t="shared" si="43"/>
        <v>0.82165605095541405</v>
      </c>
    </row>
    <row r="31" spans="1:62" x14ac:dyDescent="0.25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5"/>
        <v>1</v>
      </c>
      <c r="U31">
        <f t="shared" si="6"/>
        <v>9.8697196999605207E-5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24.316619151433841</v>
      </c>
      <c r="Z31">
        <f t="shared" si="14"/>
        <v>8.7120836600364697</v>
      </c>
      <c r="AA31">
        <f t="shared" si="15"/>
        <v>0.39130434782608697</v>
      </c>
      <c r="AB31">
        <f t="shared" si="16"/>
        <v>10.146391760171328</v>
      </c>
      <c r="AC31">
        <f t="shared" si="17"/>
        <v>0.36956521739130432</v>
      </c>
      <c r="AQ31">
        <v>48</v>
      </c>
      <c r="AR31">
        <f t="shared" si="27"/>
        <v>297</v>
      </c>
      <c r="AS31">
        <f t="shared" si="28"/>
        <v>0.25493562231759659</v>
      </c>
      <c r="AT31">
        <f t="shared" si="29"/>
        <v>0.65</v>
      </c>
      <c r="AU31">
        <f t="shared" si="30"/>
        <v>25</v>
      </c>
      <c r="AV31">
        <f t="shared" si="31"/>
        <v>0.61318181818181816</v>
      </c>
      <c r="AW31">
        <f t="shared" si="32"/>
        <v>1.1782729610375091</v>
      </c>
      <c r="AX31">
        <f t="shared" si="33"/>
        <v>-0.98761205581227607</v>
      </c>
      <c r="AY31">
        <f t="shared" si="34"/>
        <v>1.500256467277268</v>
      </c>
      <c r="AZ31">
        <f t="shared" si="35"/>
        <v>0.532258064516129</v>
      </c>
      <c r="BB31">
        <v>29</v>
      </c>
      <c r="BC31">
        <f t="shared" si="36"/>
        <v>386</v>
      </c>
      <c r="BD31">
        <f t="shared" si="37"/>
        <v>0.6954954954954955</v>
      </c>
      <c r="BE31">
        <f t="shared" si="38"/>
        <v>0</v>
      </c>
      <c r="BF31">
        <f t="shared" si="39"/>
        <v>9</v>
      </c>
      <c r="BG31">
        <f t="shared" si="40"/>
        <v>-0.15176249999999999</v>
      </c>
      <c r="BH31">
        <f t="shared" si="41"/>
        <v>-0.35935890371577106</v>
      </c>
      <c r="BI31">
        <f t="shared" si="42"/>
        <v>-0.3686937997992667</v>
      </c>
      <c r="BJ31">
        <f t="shared" si="43"/>
        <v>0.8152866242038217</v>
      </c>
    </row>
    <row r="32" spans="1:62" x14ac:dyDescent="0.25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5"/>
        <v>2</v>
      </c>
      <c r="U32">
        <f t="shared" si="6"/>
        <v>1.9739439399921041E-4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24.735871205768905</v>
      </c>
      <c r="Z32">
        <f t="shared" si="14"/>
        <v>8.8622919990026165</v>
      </c>
      <c r="AA32">
        <f t="shared" si="15"/>
        <v>0.13043478260869565</v>
      </c>
      <c r="AB32">
        <f t="shared" si="16"/>
        <v>10.329891147704048</v>
      </c>
      <c r="AC32">
        <f t="shared" si="17"/>
        <v>0.34782608695652173</v>
      </c>
      <c r="AQ32">
        <v>50</v>
      </c>
      <c r="AR32">
        <f t="shared" si="27"/>
        <v>242</v>
      </c>
      <c r="AS32">
        <f t="shared" si="28"/>
        <v>0.20772532188841203</v>
      </c>
      <c r="AT32">
        <f t="shared" si="29"/>
        <v>0.75</v>
      </c>
      <c r="AU32">
        <f t="shared" si="30"/>
        <v>27</v>
      </c>
      <c r="AV32">
        <f t="shared" si="31"/>
        <v>0.66223636363636362</v>
      </c>
      <c r="AW32">
        <f t="shared" si="32"/>
        <v>1.2725347979205099</v>
      </c>
      <c r="AX32">
        <f t="shared" si="33"/>
        <v>-0.98966197139343981</v>
      </c>
      <c r="AY32">
        <f t="shared" si="34"/>
        <v>1.6363957073665696</v>
      </c>
      <c r="AZ32">
        <f t="shared" si="35"/>
        <v>0.5161290322580645</v>
      </c>
      <c r="BB32">
        <v>30</v>
      </c>
      <c r="BC32">
        <f t="shared" si="36"/>
        <v>418</v>
      </c>
      <c r="BD32">
        <f t="shared" si="37"/>
        <v>0.75315315315315312</v>
      </c>
      <c r="BE32">
        <f t="shared" si="38"/>
        <v>0</v>
      </c>
      <c r="BF32">
        <f t="shared" si="39"/>
        <v>8</v>
      </c>
      <c r="BG32">
        <f t="shared" si="40"/>
        <v>-0.13489999999999999</v>
      </c>
      <c r="BH32">
        <f t="shared" si="41"/>
        <v>-0.31943013663624098</v>
      </c>
      <c r="BI32">
        <f t="shared" si="42"/>
        <v>-0.32772782204379264</v>
      </c>
      <c r="BJ32">
        <f t="shared" si="43"/>
        <v>0.80891719745222934</v>
      </c>
    </row>
    <row r="33" spans="1:62" x14ac:dyDescent="0.25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5"/>
        <v>1</v>
      </c>
      <c r="U33">
        <f t="shared" si="6"/>
        <v>9.8697196999605207E-5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25.155123260103974</v>
      </c>
      <c r="Z33">
        <f t="shared" si="14"/>
        <v>9.0125003379687634</v>
      </c>
      <c r="AA33">
        <f t="shared" si="15"/>
        <v>0.34782608695652173</v>
      </c>
      <c r="AB33">
        <f t="shared" si="16"/>
        <v>10.513390535236766</v>
      </c>
      <c r="AC33">
        <f t="shared" si="17"/>
        <v>0.32608695652173914</v>
      </c>
      <c r="AQ33">
        <v>51</v>
      </c>
      <c r="AR33">
        <f t="shared" si="27"/>
        <v>242</v>
      </c>
      <c r="AS33">
        <f t="shared" si="28"/>
        <v>0.20772532188841203</v>
      </c>
      <c r="AT33">
        <f t="shared" si="29"/>
        <v>0.8</v>
      </c>
      <c r="AU33">
        <f t="shared" si="30"/>
        <v>28</v>
      </c>
      <c r="AV33">
        <f t="shared" si="31"/>
        <v>0.68676363636363635</v>
      </c>
      <c r="AW33">
        <f t="shared" si="32"/>
        <v>1.3196657163620102</v>
      </c>
      <c r="AX33">
        <f t="shared" si="33"/>
        <v>-0.98966197139343981</v>
      </c>
      <c r="AY33">
        <f t="shared" si="34"/>
        <v>1.7044653274112203</v>
      </c>
      <c r="AZ33">
        <f t="shared" si="35"/>
        <v>0.5</v>
      </c>
      <c r="BB33">
        <v>31</v>
      </c>
      <c r="BC33">
        <f t="shared" si="36"/>
        <v>555</v>
      </c>
      <c r="BD33">
        <f t="shared" si="37"/>
        <v>1</v>
      </c>
      <c r="BE33">
        <f t="shared" si="38"/>
        <v>0</v>
      </c>
      <c r="BF33">
        <f t="shared" si="39"/>
        <v>7</v>
      </c>
      <c r="BG33">
        <f t="shared" si="40"/>
        <v>-0.11803749999999999</v>
      </c>
      <c r="BH33">
        <f t="shared" si="41"/>
        <v>-0.27950136955671084</v>
      </c>
      <c r="BI33">
        <f t="shared" si="42"/>
        <v>-0.28676184428831858</v>
      </c>
      <c r="BJ33">
        <f t="shared" si="43"/>
        <v>0.80254777070063699</v>
      </c>
    </row>
    <row r="34" spans="1:62" x14ac:dyDescent="0.25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5"/>
        <v>2</v>
      </c>
      <c r="U34">
        <f t="shared" si="6"/>
        <v>1.9739439399921041E-4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25.993627368774106</v>
      </c>
      <c r="Z34">
        <f t="shared" si="14"/>
        <v>9.3129170159010553</v>
      </c>
      <c r="AA34">
        <f t="shared" si="15"/>
        <v>0.10869565217391304</v>
      </c>
      <c r="AB34">
        <f t="shared" si="16"/>
        <v>10.880389310302206</v>
      </c>
      <c r="AC34">
        <f t="shared" si="17"/>
        <v>0.30434782608695654</v>
      </c>
      <c r="AQ34">
        <v>52</v>
      </c>
      <c r="AR34">
        <f t="shared" si="27"/>
        <v>404</v>
      </c>
      <c r="AS34">
        <f t="shared" si="28"/>
        <v>0.34678111587982835</v>
      </c>
      <c r="AT34">
        <f t="shared" si="29"/>
        <v>0.85</v>
      </c>
      <c r="AU34">
        <f t="shared" si="30"/>
        <v>29</v>
      </c>
      <c r="AV34">
        <f t="shared" si="31"/>
        <v>0.71129090909090908</v>
      </c>
      <c r="AW34">
        <f t="shared" si="32"/>
        <v>1.3667966348035108</v>
      </c>
      <c r="AX34">
        <f t="shared" si="33"/>
        <v>-0.98362403822710309</v>
      </c>
      <c r="AY34">
        <f t="shared" si="34"/>
        <v>1.7725349474558709</v>
      </c>
      <c r="AZ34">
        <f t="shared" si="35"/>
        <v>0.4838709677419355</v>
      </c>
      <c r="BB34">
        <v>32</v>
      </c>
      <c r="BC34">
        <f t="shared" si="36"/>
        <v>400</v>
      </c>
      <c r="BD34">
        <f t="shared" si="37"/>
        <v>0.72072072072072069</v>
      </c>
      <c r="BE34">
        <f t="shared" si="38"/>
        <v>0</v>
      </c>
      <c r="BF34">
        <f t="shared" si="39"/>
        <v>6</v>
      </c>
      <c r="BG34">
        <f t="shared" si="40"/>
        <v>-0.10117499999999999</v>
      </c>
      <c r="BH34">
        <f t="shared" si="41"/>
        <v>-0.23957260247718071</v>
      </c>
      <c r="BI34">
        <f t="shared" si="42"/>
        <v>-0.24579586653284449</v>
      </c>
      <c r="BJ34">
        <f t="shared" si="43"/>
        <v>0.79617834394904463</v>
      </c>
    </row>
    <row r="35" spans="1:62" x14ac:dyDescent="0.25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5"/>
        <v>1</v>
      </c>
      <c r="U35">
        <f t="shared" si="6"/>
        <v>9.8697196999605207E-5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27.251383531779304</v>
      </c>
      <c r="Z35">
        <f t="shared" si="14"/>
        <v>9.7635420327994922</v>
      </c>
      <c r="AA35">
        <f t="shared" si="15"/>
        <v>0.30434782608695654</v>
      </c>
      <c r="AB35">
        <f t="shared" si="16"/>
        <v>11.430887472900364</v>
      </c>
      <c r="AC35">
        <f t="shared" si="17"/>
        <v>0.28260869565217389</v>
      </c>
      <c r="AQ35">
        <v>53</v>
      </c>
      <c r="AR35">
        <f t="shared" si="27"/>
        <v>161</v>
      </c>
      <c r="AS35">
        <f t="shared" si="28"/>
        <v>0.13819742489270387</v>
      </c>
      <c r="AT35">
        <f t="shared" si="29"/>
        <v>0.9</v>
      </c>
      <c r="AU35">
        <f t="shared" si="30"/>
        <v>30</v>
      </c>
      <c r="AV35">
        <f t="shared" si="31"/>
        <v>0.73581818181818182</v>
      </c>
      <c r="AW35">
        <f t="shared" si="32"/>
        <v>1.4139275532450108</v>
      </c>
      <c r="AX35">
        <f t="shared" si="33"/>
        <v>-0.99268093797660828</v>
      </c>
      <c r="AY35">
        <f t="shared" si="34"/>
        <v>1.8406045675005218</v>
      </c>
      <c r="AZ35">
        <f t="shared" si="35"/>
        <v>0.46774193548387094</v>
      </c>
      <c r="BB35">
        <v>33</v>
      </c>
      <c r="BC35">
        <f t="shared" si="36"/>
        <v>369</v>
      </c>
      <c r="BD35">
        <f t="shared" si="37"/>
        <v>0.66486486486486485</v>
      </c>
      <c r="BE35">
        <f t="shared" si="38"/>
        <v>0</v>
      </c>
      <c r="BF35">
        <f t="shared" si="39"/>
        <v>5</v>
      </c>
      <c r="BG35">
        <f t="shared" si="40"/>
        <v>-8.4312499999999999E-2</v>
      </c>
      <c r="BH35">
        <f t="shared" si="41"/>
        <v>-0.1996438353976506</v>
      </c>
      <c r="BI35">
        <f t="shared" si="42"/>
        <v>-0.20482988877737041</v>
      </c>
      <c r="BJ35">
        <f t="shared" si="43"/>
        <v>0.78980891719745228</v>
      </c>
    </row>
    <row r="36" spans="1:62" x14ac:dyDescent="0.25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5"/>
        <v>1</v>
      </c>
      <c r="U36">
        <f t="shared" si="6"/>
        <v>9.8697196999605207E-5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28.089887640449437</v>
      </c>
      <c r="Z36">
        <f t="shared" si="14"/>
        <v>10.063958710731784</v>
      </c>
      <c r="AA36">
        <f t="shared" si="15"/>
        <v>0.28260869565217389</v>
      </c>
      <c r="AB36">
        <f t="shared" si="16"/>
        <v>11.797886247965803</v>
      </c>
      <c r="AC36">
        <f t="shared" si="17"/>
        <v>0.2608695652173913</v>
      </c>
      <c r="AQ36">
        <v>54</v>
      </c>
      <c r="AR36">
        <f t="shared" si="27"/>
        <v>147</v>
      </c>
      <c r="AS36">
        <f t="shared" si="28"/>
        <v>0.12618025751072962</v>
      </c>
      <c r="AT36">
        <f t="shared" si="29"/>
        <v>0.95</v>
      </c>
      <c r="AU36">
        <f t="shared" si="30"/>
        <v>31</v>
      </c>
      <c r="AV36">
        <f t="shared" si="31"/>
        <v>0.76034545454545455</v>
      </c>
      <c r="AW36">
        <f t="shared" si="32"/>
        <v>1.4610584716865114</v>
      </c>
      <c r="AX36">
        <f t="shared" si="33"/>
        <v>-0.99320273466999531</v>
      </c>
      <c r="AY36">
        <f t="shared" si="34"/>
        <v>1.9086741875451725</v>
      </c>
      <c r="AZ36">
        <f t="shared" si="35"/>
        <v>0.45161290322580644</v>
      </c>
      <c r="BB36">
        <v>34</v>
      </c>
      <c r="BC36">
        <f t="shared" si="36"/>
        <v>393</v>
      </c>
      <c r="BD36">
        <f t="shared" si="37"/>
        <v>0.70810810810810809</v>
      </c>
      <c r="BE36">
        <f t="shared" si="38"/>
        <v>0</v>
      </c>
      <c r="BF36">
        <f t="shared" si="39"/>
        <v>4</v>
      </c>
      <c r="BG36">
        <f t="shared" si="40"/>
        <v>-6.7449999999999996E-2</v>
      </c>
      <c r="BH36">
        <f t="shared" si="41"/>
        <v>-0.15971506831812049</v>
      </c>
      <c r="BI36">
        <f t="shared" si="42"/>
        <v>-0.16386391102189632</v>
      </c>
      <c r="BJ36">
        <f t="shared" si="43"/>
        <v>0.78343949044585992</v>
      </c>
    </row>
    <row r="37" spans="1:62" x14ac:dyDescent="0.25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5"/>
        <v>1</v>
      </c>
      <c r="U37">
        <f t="shared" si="6"/>
        <v>9.8697196999605207E-5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28.928391749119569</v>
      </c>
      <c r="Z37">
        <f t="shared" si="14"/>
        <v>10.364375388664078</v>
      </c>
      <c r="AA37">
        <f t="shared" si="15"/>
        <v>0.2608695652173913</v>
      </c>
      <c r="AB37">
        <f t="shared" si="16"/>
        <v>12.164885023031241</v>
      </c>
      <c r="AC37">
        <f t="shared" si="17"/>
        <v>0.2391304347826087</v>
      </c>
      <c r="AQ37">
        <v>55</v>
      </c>
      <c r="AR37">
        <f t="shared" si="27"/>
        <v>275</v>
      </c>
      <c r="AS37">
        <f t="shared" si="28"/>
        <v>0.23605150214592274</v>
      </c>
      <c r="AT37">
        <f t="shared" si="29"/>
        <v>1</v>
      </c>
      <c r="AU37">
        <f t="shared" si="30"/>
        <v>32</v>
      </c>
      <c r="AV37">
        <f t="shared" si="31"/>
        <v>0.78487272727272728</v>
      </c>
      <c r="AW37">
        <f t="shared" si="32"/>
        <v>1.5081893901280117</v>
      </c>
      <c r="AX37">
        <f t="shared" si="33"/>
        <v>-0.98843202204474157</v>
      </c>
      <c r="AY37">
        <f t="shared" si="34"/>
        <v>1.9767438075898232</v>
      </c>
      <c r="AZ37">
        <f t="shared" si="35"/>
        <v>0.43548387096774194</v>
      </c>
      <c r="BB37">
        <v>35</v>
      </c>
      <c r="BC37">
        <f t="shared" si="36"/>
        <v>356</v>
      </c>
      <c r="BD37">
        <f t="shared" si="37"/>
        <v>0.64144144144144144</v>
      </c>
      <c r="BE37">
        <f t="shared" si="38"/>
        <v>0</v>
      </c>
      <c r="BF37">
        <f t="shared" si="39"/>
        <v>3</v>
      </c>
      <c r="BG37">
        <f t="shared" si="40"/>
        <v>-5.0587499999999994E-2</v>
      </c>
      <c r="BH37">
        <f t="shared" si="41"/>
        <v>-0.11978630123859035</v>
      </c>
      <c r="BI37">
        <f t="shared" si="42"/>
        <v>-0.12289793326642225</v>
      </c>
      <c r="BJ37">
        <f t="shared" si="43"/>
        <v>0.77707006369426757</v>
      </c>
    </row>
    <row r="38" spans="1:62" x14ac:dyDescent="0.25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5"/>
        <v>2</v>
      </c>
      <c r="U38">
        <f t="shared" si="6"/>
        <v>1.9739439399921041E-4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29.347643803454634</v>
      </c>
      <c r="Z38">
        <f t="shared" si="14"/>
        <v>10.514583727630223</v>
      </c>
      <c r="AA38">
        <f t="shared" si="15"/>
        <v>8.6956521739130432E-2</v>
      </c>
      <c r="AB38">
        <f t="shared" si="16"/>
        <v>12.348384410563961</v>
      </c>
      <c r="AC38">
        <f t="shared" si="17"/>
        <v>0.21739130434782608</v>
      </c>
      <c r="AQ38">
        <v>56</v>
      </c>
      <c r="AR38">
        <f t="shared" si="27"/>
        <v>106</v>
      </c>
      <c r="AS38">
        <f t="shared" si="28"/>
        <v>9.0987124463519309E-2</v>
      </c>
      <c r="AT38">
        <f t="shared" si="29"/>
        <v>1.05</v>
      </c>
      <c r="AU38">
        <f t="shared" si="30"/>
        <v>33</v>
      </c>
      <c r="AV38">
        <f t="shared" si="31"/>
        <v>0.8093999999999999</v>
      </c>
      <c r="AW38">
        <f t="shared" si="32"/>
        <v>1.555320308569512</v>
      </c>
      <c r="AX38">
        <f t="shared" si="33"/>
        <v>-0.99473085355777169</v>
      </c>
      <c r="AY38">
        <f t="shared" si="34"/>
        <v>2.044813427634474</v>
      </c>
      <c r="AZ38">
        <f t="shared" si="35"/>
        <v>0.41935483870967744</v>
      </c>
      <c r="BB38">
        <v>36</v>
      </c>
      <c r="BC38">
        <f t="shared" si="36"/>
        <v>392</v>
      </c>
      <c r="BD38">
        <f t="shared" si="37"/>
        <v>0.70630630630630631</v>
      </c>
      <c r="BE38">
        <f t="shared" si="38"/>
        <v>0</v>
      </c>
      <c r="BF38">
        <f t="shared" si="39"/>
        <v>2</v>
      </c>
      <c r="BG38">
        <f t="shared" si="40"/>
        <v>-3.3724999999999998E-2</v>
      </c>
      <c r="BH38">
        <f t="shared" si="41"/>
        <v>-7.9857534159060245E-2</v>
      </c>
      <c r="BI38">
        <f t="shared" si="42"/>
        <v>-8.193195551094816E-2</v>
      </c>
      <c r="BJ38">
        <f t="shared" si="43"/>
        <v>0.77070063694267521</v>
      </c>
    </row>
    <row r="39" spans="1:62" x14ac:dyDescent="0.25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5"/>
        <v>1</v>
      </c>
      <c r="U39">
        <f t="shared" si="6"/>
        <v>9.8697196999605207E-5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29.766895857789702</v>
      </c>
      <c r="Z39">
        <f t="shared" si="14"/>
        <v>10.66479206659637</v>
      </c>
      <c r="AA39">
        <f t="shared" si="15"/>
        <v>0.21739130434782608</v>
      </c>
      <c r="AB39">
        <f t="shared" si="16"/>
        <v>12.531883798096679</v>
      </c>
      <c r="AC39">
        <f t="shared" si="17"/>
        <v>0.19565217391304349</v>
      </c>
      <c r="AQ39">
        <v>57</v>
      </c>
      <c r="AR39">
        <f t="shared" si="27"/>
        <v>154</v>
      </c>
      <c r="AS39">
        <f t="shared" si="28"/>
        <v>0.13218884120171673</v>
      </c>
      <c r="AT39">
        <f t="shared" si="29"/>
        <v>1.1000000000000001</v>
      </c>
      <c r="AU39">
        <f t="shared" si="30"/>
        <v>34</v>
      </c>
      <c r="AV39">
        <f t="shared" si="31"/>
        <v>0.83392727272727274</v>
      </c>
      <c r="AW39">
        <f t="shared" si="32"/>
        <v>1.6024512270110125</v>
      </c>
      <c r="AX39">
        <f t="shared" si="33"/>
        <v>-0.99294183632330169</v>
      </c>
      <c r="AY39">
        <f t="shared" si="34"/>
        <v>2.1128830476791247</v>
      </c>
      <c r="AZ39">
        <f t="shared" si="35"/>
        <v>0.40322580645161288</v>
      </c>
      <c r="BB39">
        <v>37</v>
      </c>
      <c r="BC39">
        <f t="shared" si="36"/>
        <v>323</v>
      </c>
      <c r="BD39">
        <f t="shared" si="37"/>
        <v>0.58198198198198203</v>
      </c>
      <c r="BE39">
        <f t="shared" si="38"/>
        <v>0</v>
      </c>
      <c r="BF39">
        <f t="shared" si="39"/>
        <v>1</v>
      </c>
      <c r="BG39">
        <f t="shared" si="40"/>
        <v>-1.6862499999999999E-2</v>
      </c>
      <c r="BH39">
        <f t="shared" si="41"/>
        <v>-3.9928767079530122E-2</v>
      </c>
      <c r="BI39">
        <f t="shared" si="42"/>
        <v>-4.096597775547408E-2</v>
      </c>
      <c r="BJ39">
        <f t="shared" si="43"/>
        <v>0.76433121019108285</v>
      </c>
    </row>
    <row r="40" spans="1:62" x14ac:dyDescent="0.25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5"/>
        <v>2</v>
      </c>
      <c r="U40">
        <f t="shared" si="6"/>
        <v>1.9739439399921041E-4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31.0246520207949</v>
      </c>
      <c r="Z40">
        <f t="shared" si="14"/>
        <v>11.115417083494807</v>
      </c>
      <c r="AA40">
        <f t="shared" si="15"/>
        <v>6.5217391304347824E-2</v>
      </c>
      <c r="AB40">
        <f t="shared" si="16"/>
        <v>13.082381960694837</v>
      </c>
      <c r="AC40">
        <f t="shared" si="17"/>
        <v>0.17391304347826086</v>
      </c>
      <c r="AQ40">
        <v>58</v>
      </c>
      <c r="AR40">
        <f t="shared" si="27"/>
        <v>67</v>
      </c>
      <c r="AS40">
        <f t="shared" si="28"/>
        <v>5.7510729613733907E-2</v>
      </c>
      <c r="AT40">
        <f t="shared" si="29"/>
        <v>1.1499999999999999</v>
      </c>
      <c r="AU40">
        <f t="shared" si="30"/>
        <v>35</v>
      </c>
      <c r="AV40">
        <f t="shared" si="31"/>
        <v>0.85845454545454536</v>
      </c>
      <c r="AW40">
        <f t="shared" si="32"/>
        <v>1.6495821454525126</v>
      </c>
      <c r="AX40">
        <f t="shared" si="33"/>
        <v>-0.99618443006077873</v>
      </c>
      <c r="AY40">
        <f t="shared" si="34"/>
        <v>2.1809526677237754</v>
      </c>
      <c r="AZ40">
        <f t="shared" si="35"/>
        <v>0.38709677419354838</v>
      </c>
      <c r="BB40">
        <v>38</v>
      </c>
      <c r="BC40">
        <f t="shared" si="36"/>
        <v>349</v>
      </c>
      <c r="BD40">
        <f t="shared" si="37"/>
        <v>0.62882882882882885</v>
      </c>
      <c r="BE40">
        <f t="shared" si="38"/>
        <v>0</v>
      </c>
      <c r="BF40">
        <f t="shared" si="39"/>
        <v>0</v>
      </c>
      <c r="BG40">
        <f t="shared" si="40"/>
        <v>0</v>
      </c>
      <c r="BH40">
        <f t="shared" si="41"/>
        <v>0</v>
      </c>
      <c r="BI40">
        <f t="shared" si="42"/>
        <v>0</v>
      </c>
      <c r="BJ40">
        <f t="shared" si="43"/>
        <v>0.7579617834394905</v>
      </c>
    </row>
    <row r="41" spans="1:62" x14ac:dyDescent="0.25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5"/>
        <v>1</v>
      </c>
      <c r="U41">
        <f t="shared" si="6"/>
        <v>9.8697196999605207E-5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31.863156129465033</v>
      </c>
      <c r="Z41">
        <f t="shared" si="14"/>
        <v>11.415833761427098</v>
      </c>
      <c r="AA41">
        <f t="shared" si="15"/>
        <v>0.17391304347826086</v>
      </c>
      <c r="AB41">
        <f t="shared" si="16"/>
        <v>13.449380735760277</v>
      </c>
      <c r="AC41">
        <f t="shared" si="17"/>
        <v>0.15217391304347827</v>
      </c>
      <c r="AQ41">
        <v>59</v>
      </c>
      <c r="AR41">
        <f t="shared" si="27"/>
        <v>57</v>
      </c>
      <c r="AS41">
        <f t="shared" si="28"/>
        <v>4.8927038626609444E-2</v>
      </c>
      <c r="AT41">
        <f t="shared" si="29"/>
        <v>1.2</v>
      </c>
      <c r="AU41">
        <f t="shared" si="30"/>
        <v>36</v>
      </c>
      <c r="AV41">
        <f t="shared" si="31"/>
        <v>0.8829818181818182</v>
      </c>
      <c r="AW41">
        <f t="shared" si="32"/>
        <v>1.6967130638940131</v>
      </c>
      <c r="AX41">
        <f t="shared" si="33"/>
        <v>-0.99655714198462675</v>
      </c>
      <c r="AY41">
        <f t="shared" si="34"/>
        <v>2.2490222877684261</v>
      </c>
      <c r="AZ41">
        <f t="shared" si="35"/>
        <v>0.37096774193548387</v>
      </c>
      <c r="BB41">
        <v>39</v>
      </c>
      <c r="BC41">
        <f t="shared" si="36"/>
        <v>294</v>
      </c>
      <c r="BD41">
        <f t="shared" si="37"/>
        <v>0.52972972972972976</v>
      </c>
      <c r="BE41">
        <f t="shared" si="38"/>
        <v>0</v>
      </c>
      <c r="BF41">
        <f t="shared" si="39"/>
        <v>1</v>
      </c>
      <c r="BG41">
        <f t="shared" si="40"/>
        <v>1.6862499999999999E-2</v>
      </c>
      <c r="BH41">
        <f t="shared" si="41"/>
        <v>3.9928767079530122E-2</v>
      </c>
      <c r="BI41">
        <f t="shared" si="42"/>
        <v>4.096597775547408E-2</v>
      </c>
      <c r="BJ41">
        <f t="shared" si="43"/>
        <v>0.75159235668789814</v>
      </c>
    </row>
    <row r="42" spans="1:62" x14ac:dyDescent="0.25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5"/>
        <v>2</v>
      </c>
      <c r="U42">
        <f t="shared" si="6"/>
        <v>1.9739439399921041E-4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32.282408183800101</v>
      </c>
      <c r="Z42">
        <f t="shared" si="14"/>
        <v>11.566042100393245</v>
      </c>
      <c r="AA42">
        <f t="shared" si="15"/>
        <v>4.3478260869565216E-2</v>
      </c>
      <c r="AB42">
        <f t="shared" si="16"/>
        <v>13.632880123292995</v>
      </c>
      <c r="AC42">
        <f t="shared" si="17"/>
        <v>0.13043478260869565</v>
      </c>
      <c r="AQ42">
        <v>60</v>
      </c>
      <c r="AR42">
        <f t="shared" si="27"/>
        <v>106</v>
      </c>
      <c r="AS42">
        <f t="shared" si="28"/>
        <v>9.0987124463519309E-2</v>
      </c>
      <c r="AT42">
        <f t="shared" si="29"/>
        <v>1.25</v>
      </c>
      <c r="AU42">
        <f t="shared" si="30"/>
        <v>37</v>
      </c>
      <c r="AV42">
        <f t="shared" si="31"/>
        <v>0.90750909090909082</v>
      </c>
      <c r="AW42">
        <f t="shared" si="32"/>
        <v>1.7438439823355134</v>
      </c>
      <c r="AX42">
        <f t="shared" si="33"/>
        <v>-0.99473085355777169</v>
      </c>
      <c r="AY42">
        <f t="shared" si="34"/>
        <v>2.3170919078130767</v>
      </c>
      <c r="AZ42">
        <f t="shared" si="35"/>
        <v>0.35483870967741937</v>
      </c>
      <c r="BB42">
        <v>40</v>
      </c>
      <c r="BC42">
        <f t="shared" si="36"/>
        <v>312</v>
      </c>
      <c r="BD42">
        <f t="shared" si="37"/>
        <v>0.56216216216216219</v>
      </c>
      <c r="BE42">
        <f t="shared" si="38"/>
        <v>0</v>
      </c>
      <c r="BF42">
        <f t="shared" si="39"/>
        <v>2</v>
      </c>
      <c r="BG42">
        <f t="shared" si="40"/>
        <v>3.3724999999999998E-2</v>
      </c>
      <c r="BH42">
        <f t="shared" si="41"/>
        <v>7.9857534159060245E-2</v>
      </c>
      <c r="BI42">
        <f t="shared" si="42"/>
        <v>8.193195551094816E-2</v>
      </c>
      <c r="BJ42">
        <f t="shared" si="43"/>
        <v>0.74522292993630568</v>
      </c>
    </row>
    <row r="43" spans="1:62" x14ac:dyDescent="0.25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5"/>
        <v>1</v>
      </c>
      <c r="U43">
        <f t="shared" si="6"/>
        <v>9.8697196999605207E-5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33.12091229247023</v>
      </c>
      <c r="Z43">
        <f t="shared" si="14"/>
        <v>11.866458778325537</v>
      </c>
      <c r="AA43">
        <f t="shared" si="15"/>
        <v>0.13043478260869565</v>
      </c>
      <c r="AB43">
        <f t="shared" si="16"/>
        <v>13.999878898358435</v>
      </c>
      <c r="AC43">
        <f t="shared" si="17"/>
        <v>0.10869565217391304</v>
      </c>
      <c r="AQ43">
        <v>61</v>
      </c>
      <c r="AR43">
        <f t="shared" si="27"/>
        <v>46</v>
      </c>
      <c r="AS43">
        <f t="shared" si="28"/>
        <v>3.9484978540772535E-2</v>
      </c>
      <c r="AT43">
        <f t="shared" si="29"/>
        <v>1.3</v>
      </c>
      <c r="AU43">
        <f t="shared" si="30"/>
        <v>38</v>
      </c>
      <c r="AV43">
        <f t="shared" si="31"/>
        <v>0.93203636363636366</v>
      </c>
      <c r="AW43">
        <f t="shared" si="32"/>
        <v>1.7909749007770139</v>
      </c>
      <c r="AX43">
        <f t="shared" si="33"/>
        <v>-0.99696712510085939</v>
      </c>
      <c r="AY43">
        <f t="shared" si="34"/>
        <v>2.3851615278577278</v>
      </c>
      <c r="AZ43">
        <f t="shared" si="35"/>
        <v>0.33870967741935482</v>
      </c>
      <c r="BB43">
        <v>41</v>
      </c>
      <c r="BC43">
        <f t="shared" si="36"/>
        <v>313</v>
      </c>
      <c r="BD43">
        <f t="shared" si="37"/>
        <v>0.56396396396396398</v>
      </c>
      <c r="BE43">
        <f t="shared" si="38"/>
        <v>0</v>
      </c>
      <c r="BF43">
        <f t="shared" si="39"/>
        <v>3</v>
      </c>
      <c r="BG43">
        <f t="shared" si="40"/>
        <v>5.0587499999999994E-2</v>
      </c>
      <c r="BH43">
        <f t="shared" si="41"/>
        <v>0.11978630123859035</v>
      </c>
      <c r="BI43">
        <f t="shared" si="42"/>
        <v>0.12289793326642225</v>
      </c>
      <c r="BJ43">
        <f t="shared" si="43"/>
        <v>0.73885350318471332</v>
      </c>
    </row>
    <row r="44" spans="1:62" x14ac:dyDescent="0.25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5"/>
        <v>1</v>
      </c>
      <c r="U44">
        <f t="shared" si="6"/>
        <v>9.8697196999605207E-5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33.959416401140359</v>
      </c>
      <c r="Z44">
        <f t="shared" si="14"/>
        <v>12.166875456257829</v>
      </c>
      <c r="AA44">
        <f t="shared" si="15"/>
        <v>0.10869565217391304</v>
      </c>
      <c r="AB44">
        <f t="shared" si="16"/>
        <v>14.366877673423874</v>
      </c>
      <c r="AC44">
        <f t="shared" si="17"/>
        <v>8.6956521739130432E-2</v>
      </c>
      <c r="AQ44">
        <v>62</v>
      </c>
      <c r="AR44">
        <f t="shared" si="27"/>
        <v>54</v>
      </c>
      <c r="AS44">
        <f t="shared" si="28"/>
        <v>4.63519313304721E-2</v>
      </c>
      <c r="AT44">
        <f t="shared" si="29"/>
        <v>1.35</v>
      </c>
      <c r="AU44">
        <f t="shared" si="30"/>
        <v>39</v>
      </c>
      <c r="AV44">
        <f t="shared" si="31"/>
        <v>0.95656363636363628</v>
      </c>
      <c r="AW44">
        <f t="shared" si="32"/>
        <v>1.8381058192185142</v>
      </c>
      <c r="AX44">
        <f t="shared" si="33"/>
        <v>-0.99666895556178103</v>
      </c>
      <c r="AY44">
        <f t="shared" si="34"/>
        <v>2.4532311479023785</v>
      </c>
      <c r="AZ44">
        <f t="shared" si="35"/>
        <v>0.32258064516129031</v>
      </c>
      <c r="BB44">
        <v>42</v>
      </c>
      <c r="BC44">
        <f t="shared" si="36"/>
        <v>282</v>
      </c>
      <c r="BD44">
        <f t="shared" si="37"/>
        <v>0.50810810810810814</v>
      </c>
      <c r="BE44">
        <f t="shared" si="38"/>
        <v>0</v>
      </c>
      <c r="BF44">
        <f t="shared" si="39"/>
        <v>4</v>
      </c>
      <c r="BG44">
        <f t="shared" si="40"/>
        <v>6.7449999999999996E-2</v>
      </c>
      <c r="BH44">
        <f t="shared" si="41"/>
        <v>0.15971506831812049</v>
      </c>
      <c r="BI44">
        <f t="shared" si="42"/>
        <v>0.16386391102189632</v>
      </c>
      <c r="BJ44">
        <f t="shared" si="43"/>
        <v>0.73248407643312097</v>
      </c>
    </row>
    <row r="45" spans="1:62" x14ac:dyDescent="0.25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5"/>
        <v>1</v>
      </c>
      <c r="U45">
        <f t="shared" si="6"/>
        <v>9.8697196999605207E-5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34.797920509810496</v>
      </c>
      <c r="Z45">
        <f t="shared" si="14"/>
        <v>12.467292134190121</v>
      </c>
      <c r="AA45">
        <f t="shared" si="15"/>
        <v>8.6956521739130432E-2</v>
      </c>
      <c r="AB45">
        <f t="shared" si="16"/>
        <v>14.733876448489312</v>
      </c>
      <c r="AC45">
        <f t="shared" si="17"/>
        <v>6.5217391304347824E-2</v>
      </c>
      <c r="AQ45">
        <v>63</v>
      </c>
      <c r="AR45">
        <f t="shared" si="27"/>
        <v>37</v>
      </c>
      <c r="AS45">
        <f t="shared" si="28"/>
        <v>3.1759656652360517E-2</v>
      </c>
      <c r="AT45">
        <f t="shared" si="29"/>
        <v>1.4</v>
      </c>
      <c r="AU45">
        <f t="shared" si="30"/>
        <v>40</v>
      </c>
      <c r="AV45">
        <f t="shared" si="31"/>
        <v>0.98109090909090912</v>
      </c>
      <c r="AW45">
        <f t="shared" si="32"/>
        <v>1.8852367376600145</v>
      </c>
      <c r="AX45">
        <f t="shared" si="33"/>
        <v>-0.99730256583232246</v>
      </c>
      <c r="AY45">
        <f t="shared" si="34"/>
        <v>2.5213007679470292</v>
      </c>
      <c r="AZ45">
        <f t="shared" si="35"/>
        <v>0.30645161290322581</v>
      </c>
      <c r="BB45">
        <v>43</v>
      </c>
      <c r="BC45">
        <f t="shared" si="36"/>
        <v>276</v>
      </c>
      <c r="BD45">
        <f t="shared" si="37"/>
        <v>0.49729729729729732</v>
      </c>
      <c r="BE45">
        <f t="shared" si="38"/>
        <v>0</v>
      </c>
      <c r="BF45">
        <f t="shared" si="39"/>
        <v>5</v>
      </c>
      <c r="BG45">
        <f t="shared" si="40"/>
        <v>8.4312499999999999E-2</v>
      </c>
      <c r="BH45">
        <f t="shared" si="41"/>
        <v>0.1996438353976506</v>
      </c>
      <c r="BI45">
        <f t="shared" si="42"/>
        <v>0.20482988877737041</v>
      </c>
      <c r="BJ45">
        <f t="shared" si="43"/>
        <v>0.72611464968152861</v>
      </c>
    </row>
    <row r="46" spans="1:62" x14ac:dyDescent="0.25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5"/>
        <v>1</v>
      </c>
      <c r="U46">
        <f t="shared" si="6"/>
        <v>9.8697196999605207E-5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35.217172564145564</v>
      </c>
      <c r="Z46">
        <f t="shared" si="14"/>
        <v>12.617500473156268</v>
      </c>
      <c r="AA46">
        <f t="shared" si="15"/>
        <v>6.5217391304347824E-2</v>
      </c>
      <c r="AB46">
        <f t="shared" si="16"/>
        <v>14.917375836022032</v>
      </c>
      <c r="AC46">
        <f t="shared" si="17"/>
        <v>4.3478260869565216E-2</v>
      </c>
      <c r="AQ46">
        <v>64</v>
      </c>
      <c r="AR46">
        <f t="shared" si="27"/>
        <v>52</v>
      </c>
      <c r="AS46">
        <f t="shared" si="28"/>
        <v>4.4635193133047209E-2</v>
      </c>
      <c r="AT46">
        <f t="shared" si="29"/>
        <v>1.45</v>
      </c>
      <c r="AU46">
        <f t="shared" si="30"/>
        <v>41</v>
      </c>
      <c r="AV46">
        <f t="shared" si="31"/>
        <v>1.0056181818181817</v>
      </c>
      <c r="AW46">
        <f t="shared" si="32"/>
        <v>1.9323676561015148</v>
      </c>
      <c r="AX46">
        <f t="shared" si="33"/>
        <v>-0.99674349794655071</v>
      </c>
      <c r="AY46">
        <f t="shared" si="34"/>
        <v>2.5893703879916798</v>
      </c>
      <c r="AZ46">
        <f t="shared" si="35"/>
        <v>0.29032258064516131</v>
      </c>
      <c r="BB46">
        <v>44</v>
      </c>
      <c r="BC46">
        <f t="shared" si="36"/>
        <v>359</v>
      </c>
      <c r="BD46">
        <f t="shared" si="37"/>
        <v>0.6468468468468469</v>
      </c>
      <c r="BE46">
        <f t="shared" si="38"/>
        <v>0</v>
      </c>
      <c r="BF46">
        <f t="shared" si="39"/>
        <v>6</v>
      </c>
      <c r="BG46">
        <f t="shared" si="40"/>
        <v>0.10117499999999999</v>
      </c>
      <c r="BH46">
        <f t="shared" si="41"/>
        <v>0.23957260247718071</v>
      </c>
      <c r="BI46">
        <f t="shared" si="42"/>
        <v>0.24579586653284449</v>
      </c>
      <c r="BJ46">
        <f t="shared" si="43"/>
        <v>0.71974522292993626</v>
      </c>
    </row>
    <row r="47" spans="1:62" x14ac:dyDescent="0.25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5"/>
        <v>1</v>
      </c>
      <c r="U47">
        <f t="shared" si="6"/>
        <v>9.8697196999605207E-5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38.990441053161156</v>
      </c>
      <c r="Z47">
        <f t="shared" si="14"/>
        <v>13.969375523851582</v>
      </c>
      <c r="AA47">
        <f t="shared" si="15"/>
        <v>4.3478260869565216E-2</v>
      </c>
      <c r="AB47">
        <f t="shared" si="16"/>
        <v>16.568870323816508</v>
      </c>
      <c r="AC47">
        <f t="shared" si="17"/>
        <v>2.1739130434782608E-2</v>
      </c>
      <c r="AQ47">
        <v>65</v>
      </c>
      <c r="AR47">
        <f t="shared" si="27"/>
        <v>19</v>
      </c>
      <c r="AS47">
        <f t="shared" si="28"/>
        <v>1.6309012875536481E-2</v>
      </c>
      <c r="AT47">
        <f t="shared" si="29"/>
        <v>1.5</v>
      </c>
      <c r="AU47">
        <f t="shared" si="30"/>
        <v>42</v>
      </c>
      <c r="AV47">
        <f t="shared" si="31"/>
        <v>1.0301454545454545</v>
      </c>
      <c r="AW47">
        <f t="shared" si="32"/>
        <v>1.9794985745430154</v>
      </c>
      <c r="AX47">
        <f t="shared" si="33"/>
        <v>-0.99797344729524906</v>
      </c>
      <c r="AY47">
        <f t="shared" si="34"/>
        <v>2.6574400080363305</v>
      </c>
      <c r="AZ47">
        <f t="shared" si="35"/>
        <v>0.27419354838709675</v>
      </c>
      <c r="BB47">
        <v>45</v>
      </c>
      <c r="BC47">
        <f t="shared" si="36"/>
        <v>266</v>
      </c>
      <c r="BD47">
        <f t="shared" si="37"/>
        <v>0.47927927927927927</v>
      </c>
      <c r="BE47">
        <f t="shared" si="38"/>
        <v>0</v>
      </c>
      <c r="BF47">
        <f t="shared" si="39"/>
        <v>7</v>
      </c>
      <c r="BG47">
        <f t="shared" si="40"/>
        <v>0.11803749999999999</v>
      </c>
      <c r="BH47">
        <f t="shared" si="41"/>
        <v>0.27950136955671084</v>
      </c>
      <c r="BI47">
        <f t="shared" si="42"/>
        <v>0.28676184428831858</v>
      </c>
      <c r="BJ47">
        <f t="shared" si="43"/>
        <v>0.7133757961783439</v>
      </c>
    </row>
    <row r="48" spans="1:62" x14ac:dyDescent="0.25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C48">
        <f>MAX(AC2:AC47)</f>
        <v>1</v>
      </c>
      <c r="AQ48">
        <v>66</v>
      </c>
      <c r="AR48">
        <f t="shared" si="27"/>
        <v>13</v>
      </c>
      <c r="AS48">
        <f t="shared" si="28"/>
        <v>1.1158798283261802E-2</v>
      </c>
      <c r="AT48">
        <f t="shared" si="29"/>
        <v>1.55</v>
      </c>
      <c r="AU48">
        <f t="shared" si="30"/>
        <v>43</v>
      </c>
      <c r="AV48">
        <f t="shared" si="31"/>
        <v>1.0546727272727272</v>
      </c>
      <c r="AW48">
        <f t="shared" si="32"/>
        <v>2.0266294929845157</v>
      </c>
      <c r="AX48">
        <f t="shared" si="33"/>
        <v>-0.99819707444955763</v>
      </c>
      <c r="AY48">
        <f t="shared" si="34"/>
        <v>2.7255096280809812</v>
      </c>
      <c r="AZ48">
        <f t="shared" si="35"/>
        <v>0.25806451612903225</v>
      </c>
      <c r="BB48">
        <v>46</v>
      </c>
      <c r="BC48">
        <f t="shared" si="36"/>
        <v>263</v>
      </c>
      <c r="BD48">
        <f t="shared" si="37"/>
        <v>0.47387387387387386</v>
      </c>
      <c r="BE48">
        <f t="shared" si="38"/>
        <v>0</v>
      </c>
      <c r="BF48">
        <f t="shared" si="39"/>
        <v>8</v>
      </c>
      <c r="BG48">
        <f t="shared" si="40"/>
        <v>0.13489999999999999</v>
      </c>
      <c r="BH48">
        <f t="shared" si="41"/>
        <v>0.31943013663624098</v>
      </c>
      <c r="BI48">
        <f t="shared" si="42"/>
        <v>0.32772782204379264</v>
      </c>
      <c r="BJ48">
        <f t="shared" si="43"/>
        <v>0.70700636942675155</v>
      </c>
    </row>
    <row r="49" spans="1:62" x14ac:dyDescent="0.25">
      <c r="A49">
        <v>38</v>
      </c>
      <c r="B49">
        <v>2</v>
      </c>
      <c r="C49">
        <v>2</v>
      </c>
      <c r="D49">
        <v>0</v>
      </c>
      <c r="E49">
        <v>21</v>
      </c>
      <c r="AQ49">
        <v>67</v>
      </c>
      <c r="AR49">
        <f t="shared" si="27"/>
        <v>34</v>
      </c>
      <c r="AS49">
        <f t="shared" si="28"/>
        <v>2.9184549356223177E-2</v>
      </c>
      <c r="AT49">
        <f t="shared" si="29"/>
        <v>1.6</v>
      </c>
      <c r="AU49">
        <f t="shared" si="30"/>
        <v>44</v>
      </c>
      <c r="AV49">
        <f t="shared" si="31"/>
        <v>1.0791999999999999</v>
      </c>
      <c r="AW49">
        <f t="shared" si="32"/>
        <v>2.073760411426016</v>
      </c>
      <c r="AX49">
        <f t="shared" si="33"/>
        <v>-0.99741437940947697</v>
      </c>
      <c r="AY49">
        <f t="shared" si="34"/>
        <v>2.7935792481256319</v>
      </c>
      <c r="AZ49">
        <f t="shared" si="35"/>
        <v>0.24193548387096775</v>
      </c>
      <c r="BB49">
        <v>47</v>
      </c>
      <c r="BC49">
        <f t="shared" si="36"/>
        <v>235</v>
      </c>
      <c r="BD49">
        <f t="shared" si="37"/>
        <v>0.42342342342342343</v>
      </c>
      <c r="BE49">
        <f t="shared" si="38"/>
        <v>0</v>
      </c>
      <c r="BF49">
        <f t="shared" si="39"/>
        <v>9</v>
      </c>
      <c r="BG49">
        <f t="shared" si="40"/>
        <v>0.15176249999999999</v>
      </c>
      <c r="BH49">
        <f t="shared" si="41"/>
        <v>0.35935890371577106</v>
      </c>
      <c r="BI49">
        <f t="shared" si="42"/>
        <v>0.3686937997992667</v>
      </c>
      <c r="BJ49">
        <f t="shared" si="43"/>
        <v>0.70063694267515919</v>
      </c>
    </row>
    <row r="50" spans="1:62" x14ac:dyDescent="0.25">
      <c r="A50">
        <v>41</v>
      </c>
      <c r="B50">
        <v>2</v>
      </c>
      <c r="C50">
        <v>2</v>
      </c>
      <c r="D50">
        <v>0</v>
      </c>
      <c r="E50">
        <v>6</v>
      </c>
      <c r="AQ50">
        <v>68</v>
      </c>
      <c r="AR50">
        <f t="shared" si="27"/>
        <v>15</v>
      </c>
      <c r="AS50">
        <f t="shared" si="28"/>
        <v>1.2875536480686695E-2</v>
      </c>
      <c r="AT50">
        <f t="shared" si="29"/>
        <v>1.65</v>
      </c>
      <c r="AU50">
        <f t="shared" si="30"/>
        <v>45</v>
      </c>
      <c r="AV50">
        <f t="shared" si="31"/>
        <v>1.1037272727272727</v>
      </c>
      <c r="AW50">
        <f t="shared" si="32"/>
        <v>2.1208913298675163</v>
      </c>
      <c r="AX50">
        <f t="shared" si="33"/>
        <v>-0.99812253206478818</v>
      </c>
      <c r="AY50">
        <f t="shared" si="34"/>
        <v>2.861648868170283</v>
      </c>
      <c r="AZ50">
        <f t="shared" si="35"/>
        <v>0.22580645161290322</v>
      </c>
      <c r="BB50">
        <v>48</v>
      </c>
      <c r="BC50">
        <f t="shared" si="36"/>
        <v>235</v>
      </c>
      <c r="BD50">
        <f t="shared" si="37"/>
        <v>0.42342342342342343</v>
      </c>
      <c r="BE50">
        <f t="shared" si="38"/>
        <v>0</v>
      </c>
      <c r="BF50">
        <f t="shared" si="39"/>
        <v>10</v>
      </c>
      <c r="BG50">
        <f t="shared" si="40"/>
        <v>0.168625</v>
      </c>
      <c r="BH50">
        <f t="shared" si="41"/>
        <v>0.3992876707953012</v>
      </c>
      <c r="BI50">
        <f t="shared" si="42"/>
        <v>0.40965977755474081</v>
      </c>
      <c r="BJ50">
        <f t="shared" si="43"/>
        <v>0.69426751592356684</v>
      </c>
    </row>
    <row r="51" spans="1:62" x14ac:dyDescent="0.25">
      <c r="A51">
        <v>80</v>
      </c>
      <c r="B51">
        <v>2</v>
      </c>
      <c r="C51">
        <v>2</v>
      </c>
      <c r="D51">
        <v>0</v>
      </c>
      <c r="E51">
        <v>24</v>
      </c>
      <c r="AQ51">
        <v>69</v>
      </c>
      <c r="AR51">
        <f t="shared" si="27"/>
        <v>11</v>
      </c>
      <c r="AS51">
        <f t="shared" si="28"/>
        <v>9.4420600858369091E-3</v>
      </c>
      <c r="AT51">
        <f t="shared" si="29"/>
        <v>1.7</v>
      </c>
      <c r="AU51">
        <f t="shared" si="30"/>
        <v>46</v>
      </c>
      <c r="AV51">
        <f t="shared" si="31"/>
        <v>1.1282545454545454</v>
      </c>
      <c r="AW51">
        <f t="shared" si="32"/>
        <v>2.168022248309017</v>
      </c>
      <c r="AX51">
        <f t="shared" si="33"/>
        <v>-0.99827161683432719</v>
      </c>
      <c r="AY51">
        <f t="shared" si="34"/>
        <v>2.9297184882149336</v>
      </c>
      <c r="AZ51">
        <f t="shared" si="35"/>
        <v>0.20967741935483872</v>
      </c>
      <c r="BB51">
        <v>49</v>
      </c>
      <c r="BC51">
        <f t="shared" si="36"/>
        <v>249</v>
      </c>
      <c r="BD51">
        <f t="shared" si="37"/>
        <v>0.44864864864864867</v>
      </c>
      <c r="BE51">
        <f t="shared" si="38"/>
        <v>0</v>
      </c>
      <c r="BF51">
        <f t="shared" si="39"/>
        <v>11</v>
      </c>
      <c r="BG51">
        <f t="shared" si="40"/>
        <v>0.1854875</v>
      </c>
      <c r="BH51">
        <f t="shared" si="41"/>
        <v>0.43921643787483133</v>
      </c>
      <c r="BI51">
        <f t="shared" si="42"/>
        <v>0.45062575531021487</v>
      </c>
      <c r="BJ51">
        <f t="shared" si="43"/>
        <v>0.68789808917197448</v>
      </c>
    </row>
    <row r="52" spans="1:62" x14ac:dyDescent="0.25">
      <c r="A52">
        <v>77</v>
      </c>
      <c r="B52">
        <v>5</v>
      </c>
      <c r="C52">
        <v>2</v>
      </c>
      <c r="D52">
        <v>0</v>
      </c>
      <c r="E52">
        <v>29</v>
      </c>
      <c r="AQ52">
        <v>70</v>
      </c>
      <c r="AR52">
        <f t="shared" si="27"/>
        <v>7</v>
      </c>
      <c r="AS52">
        <f t="shared" si="28"/>
        <v>6.0085836909871248E-3</v>
      </c>
      <c r="AT52">
        <f t="shared" si="29"/>
        <v>1.75</v>
      </c>
      <c r="AU52">
        <f t="shared" si="30"/>
        <v>47</v>
      </c>
      <c r="AV52">
        <f t="shared" si="31"/>
        <v>1.1527818181818181</v>
      </c>
      <c r="AW52">
        <f t="shared" si="32"/>
        <v>2.2151531667505173</v>
      </c>
      <c r="AX52">
        <f t="shared" si="33"/>
        <v>-0.99842070160386631</v>
      </c>
      <c r="AY52">
        <f t="shared" si="34"/>
        <v>2.9977881082595843</v>
      </c>
      <c r="AZ52">
        <f t="shared" si="35"/>
        <v>0.19354838709677419</v>
      </c>
      <c r="BB52">
        <v>50</v>
      </c>
      <c r="BC52">
        <f t="shared" si="36"/>
        <v>128</v>
      </c>
      <c r="BD52">
        <f t="shared" si="37"/>
        <v>0.23063063063063063</v>
      </c>
      <c r="BE52">
        <f t="shared" si="38"/>
        <v>0</v>
      </c>
      <c r="BF52">
        <f t="shared" si="39"/>
        <v>12</v>
      </c>
      <c r="BG52">
        <f t="shared" si="40"/>
        <v>0.20234999999999997</v>
      </c>
      <c r="BH52">
        <f t="shared" si="41"/>
        <v>0.47914520495436141</v>
      </c>
      <c r="BI52">
        <f t="shared" si="42"/>
        <v>0.49159173306568898</v>
      </c>
      <c r="BJ52">
        <f t="shared" si="43"/>
        <v>0.68152866242038213</v>
      </c>
    </row>
    <row r="53" spans="1:62" x14ac:dyDescent="0.25">
      <c r="A53">
        <v>13</v>
      </c>
      <c r="B53">
        <v>0</v>
      </c>
      <c r="C53">
        <v>0</v>
      </c>
      <c r="D53">
        <v>2</v>
      </c>
      <c r="E53">
        <v>7</v>
      </c>
      <c r="AQ53">
        <v>71</v>
      </c>
      <c r="AR53">
        <f t="shared" si="27"/>
        <v>3</v>
      </c>
      <c r="AS53">
        <f t="shared" si="28"/>
        <v>2.5751072961373391E-3</v>
      </c>
      <c r="AT53">
        <f t="shared" si="29"/>
        <v>1.8</v>
      </c>
      <c r="AU53">
        <f t="shared" si="30"/>
        <v>48</v>
      </c>
      <c r="AV53">
        <f t="shared" si="31"/>
        <v>1.1773090909090909</v>
      </c>
      <c r="AW53">
        <f t="shared" si="32"/>
        <v>2.2622840851920172</v>
      </c>
      <c r="AX53">
        <f t="shared" si="33"/>
        <v>-0.99856978637340554</v>
      </c>
      <c r="AY53">
        <f t="shared" si="34"/>
        <v>3.065857728304235</v>
      </c>
      <c r="AZ53">
        <f t="shared" si="35"/>
        <v>0.17741935483870969</v>
      </c>
      <c r="BB53">
        <v>51</v>
      </c>
      <c r="BC53">
        <f t="shared" si="36"/>
        <v>242</v>
      </c>
      <c r="BD53">
        <f t="shared" si="37"/>
        <v>0.43603603603603602</v>
      </c>
      <c r="BE53">
        <f t="shared" si="38"/>
        <v>0</v>
      </c>
      <c r="BF53">
        <f t="shared" si="39"/>
        <v>13</v>
      </c>
      <c r="BG53">
        <f t="shared" si="40"/>
        <v>0.21921249999999998</v>
      </c>
      <c r="BH53">
        <f t="shared" si="41"/>
        <v>0.51907397203389161</v>
      </c>
      <c r="BI53">
        <f t="shared" si="42"/>
        <v>0.5325577108211631</v>
      </c>
      <c r="BJ53">
        <f t="shared" si="43"/>
        <v>0.67515923566878977</v>
      </c>
    </row>
    <row r="54" spans="1:62" x14ac:dyDescent="0.25">
      <c r="A54">
        <v>14</v>
      </c>
      <c r="B54">
        <v>0</v>
      </c>
      <c r="C54">
        <v>0</v>
      </c>
      <c r="D54">
        <v>2</v>
      </c>
      <c r="E54">
        <v>2</v>
      </c>
      <c r="AQ54">
        <v>72</v>
      </c>
      <c r="AR54">
        <f t="shared" si="27"/>
        <v>10</v>
      </c>
      <c r="AS54">
        <f t="shared" si="28"/>
        <v>8.5836909871244635E-3</v>
      </c>
      <c r="AT54">
        <f t="shared" si="29"/>
        <v>1.85</v>
      </c>
      <c r="AU54">
        <f t="shared" si="30"/>
        <v>49</v>
      </c>
      <c r="AV54">
        <f t="shared" si="31"/>
        <v>1.2018363636363636</v>
      </c>
      <c r="AW54">
        <f t="shared" si="32"/>
        <v>2.3094150036335179</v>
      </c>
      <c r="AX54">
        <f t="shared" si="33"/>
        <v>-0.99830888802671214</v>
      </c>
      <c r="AY54">
        <f t="shared" si="34"/>
        <v>3.1339273483488856</v>
      </c>
      <c r="AZ54">
        <f t="shared" si="35"/>
        <v>0.16129032258064516</v>
      </c>
      <c r="BB54">
        <v>52</v>
      </c>
      <c r="BC54">
        <f t="shared" si="36"/>
        <v>309</v>
      </c>
      <c r="BD54">
        <f t="shared" si="37"/>
        <v>0.55675675675675673</v>
      </c>
      <c r="BE54">
        <f t="shared" si="38"/>
        <v>0</v>
      </c>
      <c r="BF54">
        <f t="shared" si="39"/>
        <v>14</v>
      </c>
      <c r="BG54">
        <f t="shared" si="40"/>
        <v>0.23607499999999998</v>
      </c>
      <c r="BH54">
        <f t="shared" si="41"/>
        <v>0.55900273911342169</v>
      </c>
      <c r="BI54">
        <f t="shared" si="42"/>
        <v>0.57352368857663716</v>
      </c>
      <c r="BJ54">
        <f t="shared" si="43"/>
        <v>0.66878980891719741</v>
      </c>
    </row>
    <row r="55" spans="1:62" x14ac:dyDescent="0.25">
      <c r="A55">
        <v>14</v>
      </c>
      <c r="B55">
        <v>0</v>
      </c>
      <c r="C55">
        <v>0</v>
      </c>
      <c r="D55">
        <v>2</v>
      </c>
      <c r="E55">
        <v>5</v>
      </c>
      <c r="AQ55">
        <v>73</v>
      </c>
      <c r="AR55">
        <f t="shared" si="27"/>
        <v>2</v>
      </c>
      <c r="AS55">
        <f t="shared" si="28"/>
        <v>1.7167381974248926E-3</v>
      </c>
      <c r="AT55">
        <f t="shared" si="29"/>
        <v>1.9</v>
      </c>
      <c r="AU55">
        <f t="shared" si="30"/>
        <v>50</v>
      </c>
      <c r="AV55">
        <f t="shared" si="31"/>
        <v>1.2263636363636363</v>
      </c>
      <c r="AW55">
        <f t="shared" si="32"/>
        <v>2.3565459220750182</v>
      </c>
      <c r="AX55">
        <f t="shared" si="33"/>
        <v>-0.99860705756579049</v>
      </c>
      <c r="AY55">
        <f t="shared" si="34"/>
        <v>3.2019969683935363</v>
      </c>
      <c r="AZ55">
        <f t="shared" si="35"/>
        <v>0.14516129032258066</v>
      </c>
      <c r="BB55">
        <v>53</v>
      </c>
      <c r="BC55">
        <f t="shared" si="36"/>
        <v>320</v>
      </c>
      <c r="BD55">
        <f t="shared" si="37"/>
        <v>0.57657657657657657</v>
      </c>
      <c r="BE55">
        <f t="shared" si="38"/>
        <v>0</v>
      </c>
      <c r="BF55">
        <f t="shared" si="39"/>
        <v>15</v>
      </c>
      <c r="BG55">
        <f t="shared" si="40"/>
        <v>0.25293749999999998</v>
      </c>
      <c r="BH55">
        <f t="shared" si="41"/>
        <v>0.59893150619295177</v>
      </c>
      <c r="BI55">
        <f t="shared" si="42"/>
        <v>0.61448966633211122</v>
      </c>
      <c r="BJ55">
        <f t="shared" si="43"/>
        <v>0.66242038216560506</v>
      </c>
    </row>
    <row r="56" spans="1:62" x14ac:dyDescent="0.25">
      <c r="A56">
        <v>14</v>
      </c>
      <c r="B56">
        <v>0</v>
      </c>
      <c r="C56">
        <v>0</v>
      </c>
      <c r="D56">
        <v>2</v>
      </c>
      <c r="E56">
        <v>8</v>
      </c>
      <c r="AQ56">
        <v>74</v>
      </c>
      <c r="AR56">
        <f t="shared" si="27"/>
        <v>5</v>
      </c>
      <c r="AS56">
        <f t="shared" si="28"/>
        <v>4.2918454935622317E-3</v>
      </c>
      <c r="AT56">
        <f t="shared" si="29"/>
        <v>1.95</v>
      </c>
      <c r="AU56">
        <f t="shared" si="30"/>
        <v>51</v>
      </c>
      <c r="AV56">
        <f t="shared" si="31"/>
        <v>1.2508909090909091</v>
      </c>
      <c r="AW56">
        <f t="shared" si="32"/>
        <v>2.4036768405165185</v>
      </c>
      <c r="AX56">
        <f t="shared" si="33"/>
        <v>-0.99849524398863609</v>
      </c>
      <c r="AY56">
        <f t="shared" si="34"/>
        <v>3.270066588438187</v>
      </c>
      <c r="AZ56">
        <f t="shared" si="35"/>
        <v>0.12903225806451613</v>
      </c>
      <c r="BB56">
        <v>54</v>
      </c>
      <c r="BC56">
        <f t="shared" si="36"/>
        <v>271</v>
      </c>
      <c r="BD56">
        <f t="shared" si="37"/>
        <v>0.4882882882882883</v>
      </c>
      <c r="BE56">
        <f t="shared" si="38"/>
        <v>0</v>
      </c>
      <c r="BF56">
        <f t="shared" si="39"/>
        <v>16</v>
      </c>
      <c r="BG56">
        <f t="shared" si="40"/>
        <v>0.26979999999999998</v>
      </c>
      <c r="BH56">
        <f t="shared" si="41"/>
        <v>0.63886027327248196</v>
      </c>
      <c r="BI56">
        <f t="shared" si="42"/>
        <v>0.65545564408758528</v>
      </c>
      <c r="BJ56">
        <f t="shared" si="43"/>
        <v>0.6560509554140127</v>
      </c>
    </row>
    <row r="57" spans="1:62" x14ac:dyDescent="0.25">
      <c r="A57">
        <v>14</v>
      </c>
      <c r="B57">
        <v>0</v>
      </c>
      <c r="C57">
        <v>0</v>
      </c>
      <c r="D57">
        <v>2</v>
      </c>
      <c r="E57">
        <v>11</v>
      </c>
      <c r="AQ57">
        <v>75</v>
      </c>
      <c r="AR57">
        <f t="shared" si="27"/>
        <v>1</v>
      </c>
      <c r="AS57">
        <f t="shared" si="28"/>
        <v>8.5836909871244631E-4</v>
      </c>
      <c r="AT57">
        <f t="shared" si="29"/>
        <v>2</v>
      </c>
      <c r="AU57">
        <f t="shared" si="30"/>
        <v>52</v>
      </c>
      <c r="AV57">
        <f t="shared" si="31"/>
        <v>1.2754181818181818</v>
      </c>
      <c r="AW57">
        <f t="shared" si="32"/>
        <v>2.4508077589580188</v>
      </c>
      <c r="AX57">
        <f t="shared" si="33"/>
        <v>-0.99864432875817521</v>
      </c>
      <c r="AY57">
        <f t="shared" si="34"/>
        <v>3.3381362084828381</v>
      </c>
      <c r="AZ57">
        <f t="shared" si="35"/>
        <v>0.11290322580645161</v>
      </c>
      <c r="BB57">
        <v>55</v>
      </c>
      <c r="BC57">
        <f t="shared" si="36"/>
        <v>290</v>
      </c>
      <c r="BD57">
        <f t="shared" si="37"/>
        <v>0.52252252252252251</v>
      </c>
      <c r="BE57">
        <f t="shared" si="38"/>
        <v>0</v>
      </c>
      <c r="BF57">
        <f t="shared" si="39"/>
        <v>17</v>
      </c>
      <c r="BG57">
        <f t="shared" si="40"/>
        <v>0.28666249999999999</v>
      </c>
      <c r="BH57">
        <f t="shared" si="41"/>
        <v>0.67878904035201204</v>
      </c>
      <c r="BI57">
        <f t="shared" si="42"/>
        <v>0.69642162184305934</v>
      </c>
      <c r="BJ57">
        <f t="shared" si="43"/>
        <v>0.64968152866242035</v>
      </c>
    </row>
    <row r="58" spans="1:62" x14ac:dyDescent="0.25">
      <c r="A58">
        <v>15</v>
      </c>
      <c r="B58">
        <v>0</v>
      </c>
      <c r="C58">
        <v>0</v>
      </c>
      <c r="D58">
        <v>2</v>
      </c>
      <c r="E58">
        <v>11</v>
      </c>
      <c r="AQ58">
        <v>76</v>
      </c>
      <c r="AR58">
        <f t="shared" si="27"/>
        <v>1</v>
      </c>
      <c r="AS58">
        <f t="shared" si="28"/>
        <v>8.5836909871244631E-4</v>
      </c>
      <c r="AT58">
        <f t="shared" si="29"/>
        <v>2.0499999999999998</v>
      </c>
      <c r="AU58">
        <f t="shared" si="30"/>
        <v>53</v>
      </c>
      <c r="AV58">
        <f t="shared" si="31"/>
        <v>1.2999454545454545</v>
      </c>
      <c r="AW58">
        <f t="shared" si="32"/>
        <v>2.4979386773995191</v>
      </c>
      <c r="AX58">
        <f t="shared" si="33"/>
        <v>-0.99864432875817521</v>
      </c>
      <c r="AY58">
        <f t="shared" si="34"/>
        <v>3.4062058285274888</v>
      </c>
      <c r="AZ58">
        <f t="shared" si="35"/>
        <v>9.6774193548387094E-2</v>
      </c>
      <c r="BB58">
        <v>56</v>
      </c>
      <c r="BC58">
        <f t="shared" si="36"/>
        <v>309</v>
      </c>
      <c r="BD58">
        <f t="shared" si="37"/>
        <v>0.55675675675675673</v>
      </c>
      <c r="BE58">
        <f t="shared" si="38"/>
        <v>0</v>
      </c>
      <c r="BF58">
        <f t="shared" si="39"/>
        <v>18</v>
      </c>
      <c r="BG58">
        <f t="shared" si="40"/>
        <v>0.30352499999999999</v>
      </c>
      <c r="BH58">
        <f t="shared" si="41"/>
        <v>0.71871780743154212</v>
      </c>
      <c r="BI58">
        <f t="shared" si="42"/>
        <v>0.73738759959853339</v>
      </c>
      <c r="BJ58">
        <f t="shared" si="43"/>
        <v>0.64331210191082799</v>
      </c>
    </row>
    <row r="59" spans="1:62" x14ac:dyDescent="0.25">
      <c r="A59">
        <v>15</v>
      </c>
      <c r="B59">
        <v>0</v>
      </c>
      <c r="C59">
        <v>0</v>
      </c>
      <c r="D59">
        <v>2</v>
      </c>
      <c r="E59">
        <v>12</v>
      </c>
      <c r="AQ59">
        <v>77</v>
      </c>
      <c r="AR59">
        <f t="shared" si="27"/>
        <v>4</v>
      </c>
      <c r="AS59">
        <f t="shared" si="28"/>
        <v>3.4334763948497852E-3</v>
      </c>
      <c r="AT59">
        <f t="shared" si="29"/>
        <v>2.1</v>
      </c>
      <c r="AU59">
        <f t="shared" si="30"/>
        <v>54</v>
      </c>
      <c r="AV59">
        <f t="shared" si="31"/>
        <v>1.3244727272727272</v>
      </c>
      <c r="AW59">
        <f t="shared" si="32"/>
        <v>2.5450695958410199</v>
      </c>
      <c r="AX59">
        <f t="shared" si="33"/>
        <v>-0.99853251518102082</v>
      </c>
      <c r="AY59">
        <f t="shared" si="34"/>
        <v>3.4742754485721394</v>
      </c>
      <c r="AZ59">
        <f t="shared" si="35"/>
        <v>8.0645161290322578E-2</v>
      </c>
      <c r="BB59">
        <v>57</v>
      </c>
      <c r="BC59">
        <f t="shared" si="36"/>
        <v>274</v>
      </c>
      <c r="BD59">
        <f t="shared" si="37"/>
        <v>0.4936936936936937</v>
      </c>
      <c r="BE59">
        <f t="shared" si="38"/>
        <v>0</v>
      </c>
      <c r="BF59">
        <f t="shared" si="39"/>
        <v>19</v>
      </c>
      <c r="BG59">
        <f t="shared" si="40"/>
        <v>0.32038749999999999</v>
      </c>
      <c r="BH59">
        <f t="shared" si="41"/>
        <v>0.75864657451107231</v>
      </c>
      <c r="BI59">
        <f t="shared" si="42"/>
        <v>0.77835357735400756</v>
      </c>
      <c r="BJ59">
        <f t="shared" si="43"/>
        <v>0.63694267515923564</v>
      </c>
    </row>
    <row r="60" spans="1:62" x14ac:dyDescent="0.25">
      <c r="A60">
        <v>16</v>
      </c>
      <c r="B60">
        <v>0</v>
      </c>
      <c r="C60">
        <v>0</v>
      </c>
      <c r="D60">
        <v>2</v>
      </c>
      <c r="E60">
        <v>8</v>
      </c>
      <c r="AQ60">
        <v>78</v>
      </c>
      <c r="AR60">
        <f t="shared" si="27"/>
        <v>2</v>
      </c>
      <c r="AS60">
        <f t="shared" si="28"/>
        <v>1.7167381974248926E-3</v>
      </c>
      <c r="AT60">
        <f t="shared" si="29"/>
        <v>2.15</v>
      </c>
      <c r="AU60">
        <f t="shared" si="30"/>
        <v>55</v>
      </c>
      <c r="AV60">
        <f t="shared" si="31"/>
        <v>1.349</v>
      </c>
      <c r="AW60">
        <f t="shared" si="32"/>
        <v>2.5922005142825197</v>
      </c>
      <c r="AX60">
        <f t="shared" si="33"/>
        <v>-0.99860705756579049</v>
      </c>
      <c r="AY60">
        <f t="shared" si="34"/>
        <v>3.5423450686167901</v>
      </c>
      <c r="AZ60">
        <f t="shared" si="35"/>
        <v>6.4516129032258063E-2</v>
      </c>
      <c r="BB60">
        <v>58</v>
      </c>
      <c r="BC60">
        <f t="shared" si="36"/>
        <v>276</v>
      </c>
      <c r="BD60">
        <f t="shared" si="37"/>
        <v>0.49729729729729732</v>
      </c>
      <c r="BE60">
        <f t="shared" si="38"/>
        <v>0</v>
      </c>
      <c r="BF60">
        <f t="shared" si="39"/>
        <v>20</v>
      </c>
      <c r="BG60">
        <f t="shared" si="40"/>
        <v>0.33724999999999999</v>
      </c>
      <c r="BH60">
        <f t="shared" si="41"/>
        <v>0.79857534159060239</v>
      </c>
      <c r="BI60">
        <f t="shared" si="42"/>
        <v>0.81931955510948162</v>
      </c>
      <c r="BJ60">
        <f t="shared" si="43"/>
        <v>0.63057324840764328</v>
      </c>
    </row>
    <row r="61" spans="1:62" x14ac:dyDescent="0.25">
      <c r="A61">
        <v>16</v>
      </c>
      <c r="B61">
        <v>0</v>
      </c>
      <c r="C61">
        <v>0</v>
      </c>
      <c r="D61">
        <v>2</v>
      </c>
      <c r="E61">
        <v>9</v>
      </c>
      <c r="AQ61">
        <v>79</v>
      </c>
      <c r="AR61">
        <f t="shared" si="27"/>
        <v>3</v>
      </c>
      <c r="AS61">
        <f t="shared" si="28"/>
        <v>2.5751072961373391E-3</v>
      </c>
      <c r="AT61">
        <f t="shared" si="29"/>
        <v>2.2000000000000002</v>
      </c>
      <c r="AU61">
        <f t="shared" si="30"/>
        <v>56</v>
      </c>
      <c r="AV61">
        <f t="shared" si="31"/>
        <v>1.3735272727272727</v>
      </c>
      <c r="AW61">
        <f t="shared" si="32"/>
        <v>2.6393314327240205</v>
      </c>
      <c r="AX61">
        <f t="shared" si="33"/>
        <v>-0.99856978637340554</v>
      </c>
      <c r="AY61">
        <f t="shared" si="34"/>
        <v>3.6104146886614408</v>
      </c>
      <c r="AZ61">
        <f t="shared" si="35"/>
        <v>4.8387096774193547E-2</v>
      </c>
      <c r="BB61">
        <v>59</v>
      </c>
      <c r="BC61">
        <f t="shared" si="36"/>
        <v>263</v>
      </c>
      <c r="BD61">
        <f t="shared" si="37"/>
        <v>0.47387387387387386</v>
      </c>
      <c r="BE61">
        <f t="shared" si="38"/>
        <v>0</v>
      </c>
      <c r="BF61">
        <f t="shared" si="39"/>
        <v>21</v>
      </c>
      <c r="BG61">
        <f t="shared" si="40"/>
        <v>0.3541125</v>
      </c>
      <c r="BH61">
        <f t="shared" si="41"/>
        <v>0.83850410867013248</v>
      </c>
      <c r="BI61">
        <f t="shared" si="42"/>
        <v>0.86028553286495568</v>
      </c>
      <c r="BJ61">
        <f t="shared" si="43"/>
        <v>0.62420382165605093</v>
      </c>
    </row>
    <row r="62" spans="1:62" x14ac:dyDescent="0.25">
      <c r="A62">
        <v>16</v>
      </c>
      <c r="B62">
        <v>0</v>
      </c>
      <c r="C62">
        <v>0</v>
      </c>
      <c r="D62">
        <v>2</v>
      </c>
      <c r="E62">
        <v>9</v>
      </c>
      <c r="AQ62">
        <v>82</v>
      </c>
      <c r="AR62">
        <f t="shared" si="27"/>
        <v>4</v>
      </c>
      <c r="AS62">
        <f t="shared" si="28"/>
        <v>3.4334763948497852E-3</v>
      </c>
      <c r="AT62">
        <f t="shared" si="29"/>
        <v>2.35</v>
      </c>
      <c r="AU62">
        <f t="shared" si="30"/>
        <v>59</v>
      </c>
      <c r="AV62">
        <f t="shared" si="31"/>
        <v>1.4471090909090909</v>
      </c>
      <c r="AW62">
        <f t="shared" si="32"/>
        <v>2.7807241880485214</v>
      </c>
      <c r="AX62">
        <f t="shared" si="33"/>
        <v>-0.99853251518102082</v>
      </c>
      <c r="AY62">
        <f t="shared" si="34"/>
        <v>3.8146235487953932</v>
      </c>
      <c r="AZ62">
        <f t="shared" si="35"/>
        <v>3.2258064516129031E-2</v>
      </c>
      <c r="BB62">
        <v>60</v>
      </c>
      <c r="BC62">
        <f t="shared" si="36"/>
        <v>274</v>
      </c>
      <c r="BD62">
        <f t="shared" si="37"/>
        <v>0.4936936936936937</v>
      </c>
      <c r="BE62">
        <f t="shared" si="38"/>
        <v>0</v>
      </c>
      <c r="BF62">
        <f t="shared" si="39"/>
        <v>22</v>
      </c>
      <c r="BG62">
        <f t="shared" si="40"/>
        <v>0.370975</v>
      </c>
      <c r="BH62">
        <f t="shared" si="41"/>
        <v>0.87843287574966267</v>
      </c>
      <c r="BI62">
        <f t="shared" si="42"/>
        <v>0.90125151062042974</v>
      </c>
      <c r="BJ62">
        <f t="shared" si="43"/>
        <v>0.61783439490445857</v>
      </c>
    </row>
    <row r="63" spans="1:62" x14ac:dyDescent="0.25">
      <c r="A63">
        <v>17</v>
      </c>
      <c r="B63">
        <v>0</v>
      </c>
      <c r="C63">
        <v>0</v>
      </c>
      <c r="D63">
        <v>2</v>
      </c>
      <c r="E63">
        <v>8</v>
      </c>
      <c r="AQ63">
        <v>101</v>
      </c>
      <c r="AR63">
        <f t="shared" si="27"/>
        <v>1</v>
      </c>
      <c r="AS63">
        <f t="shared" si="28"/>
        <v>8.5836909871244631E-4</v>
      </c>
      <c r="AT63">
        <f t="shared" si="29"/>
        <v>3.3</v>
      </c>
      <c r="AU63">
        <f t="shared" si="30"/>
        <v>78</v>
      </c>
      <c r="AV63">
        <f t="shared" si="31"/>
        <v>1.9131272727272726</v>
      </c>
      <c r="AW63">
        <f t="shared" si="32"/>
        <v>3.6762116384370285</v>
      </c>
      <c r="AX63">
        <f t="shared" si="33"/>
        <v>-0.99864432875817521</v>
      </c>
      <c r="AY63">
        <f t="shared" si="34"/>
        <v>5.1079463296437568</v>
      </c>
      <c r="AZ63">
        <f t="shared" si="35"/>
        <v>1.6129032258064516E-2</v>
      </c>
      <c r="BB63">
        <v>61</v>
      </c>
      <c r="BC63">
        <f t="shared" si="36"/>
        <v>274</v>
      </c>
      <c r="BD63">
        <f t="shared" si="37"/>
        <v>0.4936936936936937</v>
      </c>
      <c r="BE63">
        <f t="shared" si="38"/>
        <v>2.7027027027027029E-2</v>
      </c>
      <c r="BF63">
        <f t="shared" si="39"/>
        <v>23</v>
      </c>
      <c r="BG63">
        <f t="shared" si="40"/>
        <v>0.3878375</v>
      </c>
      <c r="BH63">
        <f t="shared" si="41"/>
        <v>0.91836164282919275</v>
      </c>
      <c r="BI63">
        <f t="shared" si="42"/>
        <v>0.9422174883759038</v>
      </c>
      <c r="BJ63">
        <f t="shared" si="43"/>
        <v>0.61146496815286622</v>
      </c>
    </row>
    <row r="64" spans="1:62" x14ac:dyDescent="0.25">
      <c r="A64">
        <v>17</v>
      </c>
      <c r="B64">
        <v>0</v>
      </c>
      <c r="C64">
        <v>0</v>
      </c>
      <c r="D64">
        <v>2</v>
      </c>
      <c r="E64">
        <v>13</v>
      </c>
      <c r="AR64">
        <f>MAX(AR2:AR63)</f>
        <v>1165</v>
      </c>
      <c r="AU64">
        <f>MEDIAN(AU2:AU63)</f>
        <v>27.5</v>
      </c>
      <c r="BB64">
        <v>62</v>
      </c>
      <c r="BC64">
        <f t="shared" si="36"/>
        <v>241</v>
      </c>
      <c r="BD64">
        <f t="shared" si="37"/>
        <v>0.43423423423423424</v>
      </c>
      <c r="BE64">
        <f t="shared" si="38"/>
        <v>5.4054054054054057E-2</v>
      </c>
      <c r="BF64">
        <f t="shared" si="39"/>
        <v>24</v>
      </c>
      <c r="BG64">
        <f t="shared" si="40"/>
        <v>0.40469999999999995</v>
      </c>
      <c r="BH64">
        <f t="shared" si="41"/>
        <v>0.95829040990872283</v>
      </c>
      <c r="BI64">
        <f t="shared" si="42"/>
        <v>0.98318346613137797</v>
      </c>
      <c r="BJ64">
        <f t="shared" si="43"/>
        <v>0.60509554140127386</v>
      </c>
    </row>
    <row r="65" spans="1:62" x14ac:dyDescent="0.25">
      <c r="A65">
        <v>18</v>
      </c>
      <c r="B65">
        <v>0</v>
      </c>
      <c r="C65">
        <v>0</v>
      </c>
      <c r="D65">
        <v>2</v>
      </c>
      <c r="E65">
        <v>9</v>
      </c>
      <c r="BB65">
        <v>63</v>
      </c>
      <c r="BC65">
        <f t="shared" si="36"/>
        <v>280</v>
      </c>
      <c r="BD65">
        <f t="shared" si="37"/>
        <v>0.50450450450450446</v>
      </c>
      <c r="BE65">
        <f t="shared" si="38"/>
        <v>8.1081081081081086E-2</v>
      </c>
      <c r="BF65">
        <f t="shared" si="39"/>
        <v>25</v>
      </c>
      <c r="BG65">
        <f t="shared" si="40"/>
        <v>0.42156250000000001</v>
      </c>
      <c r="BH65">
        <f t="shared" si="41"/>
        <v>0.99821917698825302</v>
      </c>
      <c r="BI65">
        <f t="shared" si="42"/>
        <v>1.0241494438868519</v>
      </c>
      <c r="BJ65">
        <f t="shared" si="43"/>
        <v>0.59872611464968151</v>
      </c>
    </row>
    <row r="66" spans="1:62" x14ac:dyDescent="0.25">
      <c r="A66">
        <v>18</v>
      </c>
      <c r="B66">
        <v>0</v>
      </c>
      <c r="C66">
        <v>0</v>
      </c>
      <c r="D66">
        <v>2</v>
      </c>
      <c r="E66">
        <v>9</v>
      </c>
      <c r="BB66">
        <v>64</v>
      </c>
      <c r="BC66">
        <f t="shared" si="36"/>
        <v>223</v>
      </c>
      <c r="BD66">
        <f t="shared" si="37"/>
        <v>0.40180180180180181</v>
      </c>
      <c r="BE66">
        <f t="shared" si="38"/>
        <v>0.10810810810810811</v>
      </c>
      <c r="BF66">
        <f t="shared" si="39"/>
        <v>26</v>
      </c>
      <c r="BG66">
        <f t="shared" si="40"/>
        <v>0.43842499999999995</v>
      </c>
      <c r="BH66">
        <f t="shared" si="41"/>
        <v>1.0381479440677832</v>
      </c>
      <c r="BI66">
        <f t="shared" si="42"/>
        <v>1.0651154216423262</v>
      </c>
      <c r="BJ66">
        <f t="shared" si="43"/>
        <v>0.59235668789808915</v>
      </c>
    </row>
    <row r="67" spans="1:62" x14ac:dyDescent="0.25">
      <c r="A67">
        <v>18</v>
      </c>
      <c r="B67">
        <v>0</v>
      </c>
      <c r="C67">
        <v>0</v>
      </c>
      <c r="D67">
        <v>2</v>
      </c>
      <c r="E67">
        <v>12</v>
      </c>
      <c r="BB67">
        <v>65</v>
      </c>
      <c r="BC67">
        <f t="shared" ref="BC67:BC130" si="68">COUNTIFS(E:E,"=" &amp; BB67)</f>
        <v>231</v>
      </c>
      <c r="BD67">
        <f t="shared" ref="BD67:BD130" si="69">BC67/$BC$159</f>
        <v>0.41621621621621624</v>
      </c>
      <c r="BE67">
        <f t="shared" ref="BE67:BE86" si="70">MAX(0,(BB67-$K$11)/$K$7)</f>
        <v>0.13513513513513514</v>
      </c>
      <c r="BF67">
        <f t="shared" ref="BF67:BF130" si="71">ABS(BB67-$K$2)</f>
        <v>27</v>
      </c>
      <c r="BG67">
        <f t="shared" ref="BG67:BG130" si="72">0.6745*(BB67-$K$2)/$BF$159</f>
        <v>0.45528750000000001</v>
      </c>
      <c r="BH67">
        <f t="shared" ref="BH67:BH130" si="73">(BB67-$K$2)/25.0446</f>
        <v>1.0780767111473133</v>
      </c>
      <c r="BI67">
        <f t="shared" ref="BI67:BI130" si="74">(BB67-$K$2)/24.4105</f>
        <v>1.1060813993978003</v>
      </c>
      <c r="BJ67">
        <f t="shared" ref="BJ67:BJ130" si="75">COUNTIFS(BG:BG,"&gt;=" &amp; BG67)/157</f>
        <v>0.5859872611464968</v>
      </c>
    </row>
    <row r="68" spans="1:62" x14ac:dyDescent="0.25">
      <c r="A68">
        <v>18</v>
      </c>
      <c r="B68">
        <v>0</v>
      </c>
      <c r="C68">
        <v>0</v>
      </c>
      <c r="D68">
        <v>2</v>
      </c>
      <c r="E68">
        <v>12</v>
      </c>
      <c r="BB68">
        <v>66</v>
      </c>
      <c r="BC68">
        <f t="shared" si="68"/>
        <v>238</v>
      </c>
      <c r="BD68">
        <f t="shared" si="69"/>
        <v>0.42882882882882883</v>
      </c>
      <c r="BE68">
        <f t="shared" si="70"/>
        <v>0.16216216216216217</v>
      </c>
      <c r="BF68">
        <f t="shared" si="71"/>
        <v>28</v>
      </c>
      <c r="BG68">
        <f t="shared" si="72"/>
        <v>0.47214999999999996</v>
      </c>
      <c r="BH68">
        <f t="shared" si="73"/>
        <v>1.1180054782268434</v>
      </c>
      <c r="BI68">
        <f t="shared" si="74"/>
        <v>1.1470473771532743</v>
      </c>
      <c r="BJ68">
        <f t="shared" si="75"/>
        <v>0.57961783439490444</v>
      </c>
    </row>
    <row r="69" spans="1:62" x14ac:dyDescent="0.25">
      <c r="A69">
        <v>19</v>
      </c>
      <c r="B69">
        <v>0</v>
      </c>
      <c r="C69">
        <v>0</v>
      </c>
      <c r="D69">
        <v>2</v>
      </c>
      <c r="E69">
        <v>11</v>
      </c>
      <c r="BB69">
        <v>67</v>
      </c>
      <c r="BC69">
        <f t="shared" si="68"/>
        <v>275</v>
      </c>
      <c r="BD69">
        <f t="shared" si="69"/>
        <v>0.49549549549549549</v>
      </c>
      <c r="BE69">
        <f t="shared" si="70"/>
        <v>0.1891891891891892</v>
      </c>
      <c r="BF69">
        <f t="shared" si="71"/>
        <v>29</v>
      </c>
      <c r="BG69">
        <f t="shared" si="72"/>
        <v>0.48901250000000002</v>
      </c>
      <c r="BH69">
        <f t="shared" si="73"/>
        <v>1.1579342453063735</v>
      </c>
      <c r="BI69">
        <f t="shared" si="74"/>
        <v>1.1880133549087484</v>
      </c>
      <c r="BJ69">
        <f t="shared" si="75"/>
        <v>0.57324840764331209</v>
      </c>
    </row>
    <row r="70" spans="1:62" x14ac:dyDescent="0.25">
      <c r="A70">
        <v>20</v>
      </c>
      <c r="B70">
        <v>0</v>
      </c>
      <c r="C70">
        <v>0</v>
      </c>
      <c r="D70">
        <v>2</v>
      </c>
      <c r="E70">
        <v>6</v>
      </c>
      <c r="BB70">
        <v>68</v>
      </c>
      <c r="BC70">
        <f t="shared" si="68"/>
        <v>189</v>
      </c>
      <c r="BD70">
        <f t="shared" si="69"/>
        <v>0.34054054054054056</v>
      </c>
      <c r="BE70">
        <f t="shared" si="70"/>
        <v>0.21621621621621623</v>
      </c>
      <c r="BF70">
        <f t="shared" si="71"/>
        <v>30</v>
      </c>
      <c r="BG70">
        <f t="shared" si="72"/>
        <v>0.50587499999999996</v>
      </c>
      <c r="BH70">
        <f t="shared" si="73"/>
        <v>1.1978630123859035</v>
      </c>
      <c r="BI70">
        <f t="shared" si="74"/>
        <v>1.2289793326642224</v>
      </c>
      <c r="BJ70">
        <f t="shared" si="75"/>
        <v>0.56687898089171973</v>
      </c>
    </row>
    <row r="71" spans="1:62" x14ac:dyDescent="0.25">
      <c r="A71">
        <v>20</v>
      </c>
      <c r="B71">
        <v>0</v>
      </c>
      <c r="C71">
        <v>0</v>
      </c>
      <c r="D71">
        <v>2</v>
      </c>
      <c r="E71">
        <v>13</v>
      </c>
      <c r="BB71">
        <v>69</v>
      </c>
      <c r="BC71">
        <f t="shared" si="68"/>
        <v>230</v>
      </c>
      <c r="BD71">
        <f t="shared" si="69"/>
        <v>0.4144144144144144</v>
      </c>
      <c r="BE71">
        <f t="shared" si="70"/>
        <v>0.24324324324324326</v>
      </c>
      <c r="BF71">
        <f t="shared" si="71"/>
        <v>31</v>
      </c>
      <c r="BG71">
        <f t="shared" si="72"/>
        <v>0.52273750000000008</v>
      </c>
      <c r="BH71">
        <f t="shared" si="73"/>
        <v>1.2377917794654336</v>
      </c>
      <c r="BI71">
        <f t="shared" si="74"/>
        <v>1.2699453104196965</v>
      </c>
      <c r="BJ71">
        <f t="shared" si="75"/>
        <v>0.56050955414012738</v>
      </c>
    </row>
    <row r="72" spans="1:62" x14ac:dyDescent="0.25">
      <c r="A72">
        <v>21</v>
      </c>
      <c r="B72">
        <v>0</v>
      </c>
      <c r="C72">
        <v>0</v>
      </c>
      <c r="D72">
        <v>2</v>
      </c>
      <c r="E72">
        <v>10</v>
      </c>
      <c r="BB72">
        <v>70</v>
      </c>
      <c r="BC72">
        <f t="shared" si="68"/>
        <v>188</v>
      </c>
      <c r="BD72">
        <f t="shared" si="69"/>
        <v>0.33873873873873872</v>
      </c>
      <c r="BE72">
        <f t="shared" si="70"/>
        <v>0.27027027027027029</v>
      </c>
      <c r="BF72">
        <f t="shared" si="71"/>
        <v>32</v>
      </c>
      <c r="BG72">
        <f t="shared" si="72"/>
        <v>0.53959999999999997</v>
      </c>
      <c r="BH72">
        <f t="shared" si="73"/>
        <v>1.2777205465449639</v>
      </c>
      <c r="BI72">
        <f t="shared" si="74"/>
        <v>1.3109112881751706</v>
      </c>
      <c r="BJ72">
        <f t="shared" si="75"/>
        <v>0.55414012738853502</v>
      </c>
    </row>
    <row r="73" spans="1:62" x14ac:dyDescent="0.25">
      <c r="A73">
        <v>21</v>
      </c>
      <c r="B73">
        <v>0</v>
      </c>
      <c r="C73">
        <v>0</v>
      </c>
      <c r="D73">
        <v>2</v>
      </c>
      <c r="E73">
        <v>15</v>
      </c>
      <c r="BB73">
        <v>71</v>
      </c>
      <c r="BC73">
        <f t="shared" si="68"/>
        <v>200</v>
      </c>
      <c r="BD73">
        <f t="shared" si="69"/>
        <v>0.36036036036036034</v>
      </c>
      <c r="BE73">
        <f t="shared" si="70"/>
        <v>0.29729729729729731</v>
      </c>
      <c r="BF73">
        <f t="shared" si="71"/>
        <v>33</v>
      </c>
      <c r="BG73">
        <f t="shared" si="72"/>
        <v>0.55646249999999997</v>
      </c>
      <c r="BH73">
        <f t="shared" si="73"/>
        <v>1.317649313624494</v>
      </c>
      <c r="BI73">
        <f t="shared" si="74"/>
        <v>1.3518772659306446</v>
      </c>
      <c r="BJ73">
        <f t="shared" si="75"/>
        <v>0.54777070063694266</v>
      </c>
    </row>
    <row r="74" spans="1:62" x14ac:dyDescent="0.25">
      <c r="A74">
        <v>21</v>
      </c>
      <c r="B74">
        <v>0</v>
      </c>
      <c r="C74">
        <v>0</v>
      </c>
      <c r="D74">
        <v>2</v>
      </c>
      <c r="E74">
        <v>16</v>
      </c>
      <c r="BB74">
        <v>72</v>
      </c>
      <c r="BC74">
        <f t="shared" si="68"/>
        <v>182</v>
      </c>
      <c r="BD74">
        <f t="shared" si="69"/>
        <v>0.32792792792792791</v>
      </c>
      <c r="BE74">
        <f t="shared" si="70"/>
        <v>0.32432432432432434</v>
      </c>
      <c r="BF74">
        <f t="shared" si="71"/>
        <v>34</v>
      </c>
      <c r="BG74">
        <f t="shared" si="72"/>
        <v>0.57332499999999997</v>
      </c>
      <c r="BH74">
        <f t="shared" si="73"/>
        <v>1.3575780807040241</v>
      </c>
      <c r="BI74">
        <f t="shared" si="74"/>
        <v>1.3928432436861187</v>
      </c>
      <c r="BJ74">
        <f t="shared" si="75"/>
        <v>0.54140127388535031</v>
      </c>
    </row>
    <row r="75" spans="1:62" x14ac:dyDescent="0.25">
      <c r="A75">
        <v>21</v>
      </c>
      <c r="B75">
        <v>0</v>
      </c>
      <c r="C75">
        <v>0</v>
      </c>
      <c r="D75">
        <v>2</v>
      </c>
      <c r="E75">
        <v>20</v>
      </c>
      <c r="BB75">
        <v>73</v>
      </c>
      <c r="BC75">
        <f t="shared" si="68"/>
        <v>156</v>
      </c>
      <c r="BD75">
        <f t="shared" si="69"/>
        <v>0.2810810810810811</v>
      </c>
      <c r="BE75">
        <f t="shared" si="70"/>
        <v>0.35135135135135137</v>
      </c>
      <c r="BF75">
        <f t="shared" si="71"/>
        <v>35</v>
      </c>
      <c r="BG75">
        <f t="shared" si="72"/>
        <v>0.59018749999999998</v>
      </c>
      <c r="BH75">
        <f t="shared" si="73"/>
        <v>1.3975068477835542</v>
      </c>
      <c r="BI75">
        <f t="shared" si="74"/>
        <v>1.4338092214415927</v>
      </c>
      <c r="BJ75">
        <f t="shared" si="75"/>
        <v>0.53503184713375795</v>
      </c>
    </row>
    <row r="76" spans="1:62" x14ac:dyDescent="0.25">
      <c r="A76">
        <v>22</v>
      </c>
      <c r="B76">
        <v>0</v>
      </c>
      <c r="C76">
        <v>0</v>
      </c>
      <c r="D76">
        <v>2</v>
      </c>
      <c r="E76">
        <v>12</v>
      </c>
      <c r="BB76">
        <v>74</v>
      </c>
      <c r="BC76">
        <f t="shared" si="68"/>
        <v>168</v>
      </c>
      <c r="BD76">
        <f t="shared" si="69"/>
        <v>0.30270270270270272</v>
      </c>
      <c r="BE76">
        <f t="shared" si="70"/>
        <v>0.3783783783783784</v>
      </c>
      <c r="BF76">
        <f t="shared" si="71"/>
        <v>36</v>
      </c>
      <c r="BG76">
        <f t="shared" si="72"/>
        <v>0.60704999999999998</v>
      </c>
      <c r="BH76">
        <f t="shared" si="73"/>
        <v>1.4374356148630842</v>
      </c>
      <c r="BI76">
        <f t="shared" si="74"/>
        <v>1.4747751991970668</v>
      </c>
      <c r="BJ76">
        <f t="shared" si="75"/>
        <v>0.5286624203821656</v>
      </c>
    </row>
    <row r="77" spans="1:62" x14ac:dyDescent="0.25">
      <c r="A77">
        <v>22</v>
      </c>
      <c r="B77">
        <v>0</v>
      </c>
      <c r="C77">
        <v>0</v>
      </c>
      <c r="D77">
        <v>2</v>
      </c>
      <c r="E77">
        <v>13</v>
      </c>
      <c r="BB77">
        <v>75</v>
      </c>
      <c r="BC77">
        <f t="shared" si="68"/>
        <v>144</v>
      </c>
      <c r="BD77">
        <f t="shared" si="69"/>
        <v>0.25945945945945947</v>
      </c>
      <c r="BE77">
        <f t="shared" si="70"/>
        <v>0.40540540540540543</v>
      </c>
      <c r="BF77">
        <f t="shared" si="71"/>
        <v>37</v>
      </c>
      <c r="BG77">
        <f t="shared" si="72"/>
        <v>0.62391249999999998</v>
      </c>
      <c r="BH77">
        <f t="shared" si="73"/>
        <v>1.4773643819426143</v>
      </c>
      <c r="BI77">
        <f t="shared" si="74"/>
        <v>1.5157411769525411</v>
      </c>
      <c r="BJ77">
        <f t="shared" si="75"/>
        <v>0.52229299363057324</v>
      </c>
    </row>
    <row r="78" spans="1:62" x14ac:dyDescent="0.25">
      <c r="A78">
        <v>22</v>
      </c>
      <c r="B78">
        <v>0</v>
      </c>
      <c r="C78">
        <v>0</v>
      </c>
      <c r="D78">
        <v>2</v>
      </c>
      <c r="E78">
        <v>22</v>
      </c>
      <c r="BB78">
        <v>76</v>
      </c>
      <c r="BC78">
        <f t="shared" si="68"/>
        <v>154</v>
      </c>
      <c r="BD78">
        <f t="shared" si="69"/>
        <v>0.27747747747747747</v>
      </c>
      <c r="BE78">
        <f t="shared" si="70"/>
        <v>0.43243243243243246</v>
      </c>
      <c r="BF78">
        <f t="shared" si="71"/>
        <v>38</v>
      </c>
      <c r="BG78">
        <f t="shared" si="72"/>
        <v>0.64077499999999998</v>
      </c>
      <c r="BH78">
        <f t="shared" si="73"/>
        <v>1.5172931490221446</v>
      </c>
      <c r="BI78">
        <f t="shared" si="74"/>
        <v>1.5567071547080151</v>
      </c>
      <c r="BJ78">
        <f t="shared" si="75"/>
        <v>0.51592356687898089</v>
      </c>
    </row>
    <row r="79" spans="1:62" x14ac:dyDescent="0.25">
      <c r="A79">
        <v>23</v>
      </c>
      <c r="B79">
        <v>0</v>
      </c>
      <c r="C79">
        <v>0</v>
      </c>
      <c r="D79">
        <v>2</v>
      </c>
      <c r="E79">
        <v>11</v>
      </c>
      <c r="BB79">
        <v>77</v>
      </c>
      <c r="BC79">
        <f t="shared" si="68"/>
        <v>174</v>
      </c>
      <c r="BD79">
        <f t="shared" si="69"/>
        <v>0.31351351351351353</v>
      </c>
      <c r="BE79">
        <f t="shared" si="70"/>
        <v>0.45945945945945948</v>
      </c>
      <c r="BF79">
        <f t="shared" si="71"/>
        <v>39</v>
      </c>
      <c r="BG79">
        <f t="shared" si="72"/>
        <v>0.65763749999999999</v>
      </c>
      <c r="BH79">
        <f t="shared" si="73"/>
        <v>1.5572219161016747</v>
      </c>
      <c r="BI79">
        <f t="shared" si="74"/>
        <v>1.5976731324634892</v>
      </c>
      <c r="BJ79">
        <f t="shared" si="75"/>
        <v>0.50955414012738853</v>
      </c>
    </row>
    <row r="80" spans="1:62" x14ac:dyDescent="0.25">
      <c r="A80">
        <v>23</v>
      </c>
      <c r="B80">
        <v>0</v>
      </c>
      <c r="C80">
        <v>0</v>
      </c>
      <c r="D80">
        <v>2</v>
      </c>
      <c r="E80">
        <v>15</v>
      </c>
      <c r="BB80">
        <v>78</v>
      </c>
      <c r="BC80">
        <f t="shared" si="68"/>
        <v>136</v>
      </c>
      <c r="BD80">
        <f t="shared" si="69"/>
        <v>0.24504504504504504</v>
      </c>
      <c r="BE80">
        <f t="shared" si="70"/>
        <v>0.48648648648648651</v>
      </c>
      <c r="BF80">
        <f t="shared" si="71"/>
        <v>40</v>
      </c>
      <c r="BG80">
        <f t="shared" si="72"/>
        <v>0.67449999999999999</v>
      </c>
      <c r="BH80">
        <f t="shared" si="73"/>
        <v>1.5971506831812048</v>
      </c>
      <c r="BI80">
        <f t="shared" si="74"/>
        <v>1.6386391102189632</v>
      </c>
      <c r="BJ80">
        <f t="shared" si="75"/>
        <v>0.50318471337579618</v>
      </c>
    </row>
    <row r="81" spans="1:62" x14ac:dyDescent="0.25">
      <c r="A81">
        <v>23</v>
      </c>
      <c r="B81">
        <v>0</v>
      </c>
      <c r="C81">
        <v>0</v>
      </c>
      <c r="D81">
        <v>2</v>
      </c>
      <c r="E81">
        <v>19</v>
      </c>
      <c r="BB81">
        <v>79</v>
      </c>
      <c r="BC81">
        <f t="shared" si="68"/>
        <v>149</v>
      </c>
      <c r="BD81">
        <f t="shared" si="69"/>
        <v>0.26846846846846845</v>
      </c>
      <c r="BE81">
        <f t="shared" si="70"/>
        <v>0.51351351351351349</v>
      </c>
      <c r="BF81">
        <f t="shared" si="71"/>
        <v>41</v>
      </c>
      <c r="BG81">
        <f t="shared" si="72"/>
        <v>0.69136249999999999</v>
      </c>
      <c r="BH81">
        <f t="shared" si="73"/>
        <v>1.6370794502607349</v>
      </c>
      <c r="BI81">
        <f t="shared" si="74"/>
        <v>1.6796050879744373</v>
      </c>
      <c r="BJ81">
        <f t="shared" si="75"/>
        <v>0.49681528662420382</v>
      </c>
    </row>
    <row r="82" spans="1:62" x14ac:dyDescent="0.25">
      <c r="A82">
        <v>24</v>
      </c>
      <c r="B82">
        <v>0</v>
      </c>
      <c r="C82">
        <v>0</v>
      </c>
      <c r="D82">
        <v>2</v>
      </c>
      <c r="E82">
        <v>1</v>
      </c>
      <c r="BB82">
        <v>80</v>
      </c>
      <c r="BC82">
        <f t="shared" si="68"/>
        <v>96</v>
      </c>
      <c r="BD82">
        <f t="shared" si="69"/>
        <v>0.17297297297297298</v>
      </c>
      <c r="BE82">
        <f t="shared" si="70"/>
        <v>0.54054054054054057</v>
      </c>
      <c r="BF82">
        <f t="shared" si="71"/>
        <v>42</v>
      </c>
      <c r="BG82">
        <f t="shared" si="72"/>
        <v>0.70822499999999999</v>
      </c>
      <c r="BH82">
        <f t="shared" si="73"/>
        <v>1.677008217340265</v>
      </c>
      <c r="BI82">
        <f t="shared" si="74"/>
        <v>1.7205710657299114</v>
      </c>
      <c r="BJ82">
        <f t="shared" si="75"/>
        <v>0.49044585987261147</v>
      </c>
    </row>
    <row r="83" spans="1:62" x14ac:dyDescent="0.25">
      <c r="A83">
        <v>24</v>
      </c>
      <c r="B83">
        <v>0</v>
      </c>
      <c r="C83">
        <v>0</v>
      </c>
      <c r="D83">
        <v>2</v>
      </c>
      <c r="E83">
        <v>11</v>
      </c>
      <c r="BB83">
        <v>81</v>
      </c>
      <c r="BC83">
        <f t="shared" si="68"/>
        <v>127</v>
      </c>
      <c r="BD83">
        <f t="shared" si="69"/>
        <v>0.22882882882882882</v>
      </c>
      <c r="BE83">
        <f t="shared" si="70"/>
        <v>0.56756756756756754</v>
      </c>
      <c r="BF83">
        <f t="shared" si="71"/>
        <v>43</v>
      </c>
      <c r="BG83">
        <f t="shared" si="72"/>
        <v>0.7250875</v>
      </c>
      <c r="BH83">
        <f t="shared" si="73"/>
        <v>1.7169369844197953</v>
      </c>
      <c r="BI83">
        <f t="shared" si="74"/>
        <v>1.7615370434853854</v>
      </c>
      <c r="BJ83">
        <f t="shared" si="75"/>
        <v>0.48407643312101911</v>
      </c>
    </row>
    <row r="84" spans="1:62" x14ac:dyDescent="0.25">
      <c r="A84">
        <v>24</v>
      </c>
      <c r="B84">
        <v>0</v>
      </c>
      <c r="C84">
        <v>0</v>
      </c>
      <c r="D84">
        <v>2</v>
      </c>
      <c r="E84">
        <v>16</v>
      </c>
      <c r="BB84">
        <v>82</v>
      </c>
      <c r="BC84">
        <f t="shared" si="68"/>
        <v>115</v>
      </c>
      <c r="BD84">
        <f t="shared" si="69"/>
        <v>0.2072072072072072</v>
      </c>
      <c r="BE84">
        <f t="shared" si="70"/>
        <v>0.59459459459459463</v>
      </c>
      <c r="BF84">
        <f t="shared" si="71"/>
        <v>44</v>
      </c>
      <c r="BG84">
        <f t="shared" si="72"/>
        <v>0.74195</v>
      </c>
      <c r="BH84">
        <f t="shared" si="73"/>
        <v>1.7568657514993253</v>
      </c>
      <c r="BI84">
        <f t="shared" si="74"/>
        <v>1.8025030212408595</v>
      </c>
      <c r="BJ84">
        <f t="shared" si="75"/>
        <v>0.47770700636942676</v>
      </c>
    </row>
    <row r="85" spans="1:62" x14ac:dyDescent="0.25">
      <c r="A85">
        <v>24</v>
      </c>
      <c r="B85">
        <v>0</v>
      </c>
      <c r="C85">
        <v>0</v>
      </c>
      <c r="D85">
        <v>2</v>
      </c>
      <c r="E85">
        <v>21</v>
      </c>
      <c r="BB85">
        <v>83</v>
      </c>
      <c r="BC85">
        <f t="shared" si="68"/>
        <v>99</v>
      </c>
      <c r="BD85">
        <f t="shared" si="69"/>
        <v>0.17837837837837839</v>
      </c>
      <c r="BE85">
        <f t="shared" si="70"/>
        <v>0.6216216216216216</v>
      </c>
      <c r="BF85">
        <f t="shared" si="71"/>
        <v>45</v>
      </c>
      <c r="BG85">
        <f t="shared" si="72"/>
        <v>0.7588125</v>
      </c>
      <c r="BH85">
        <f t="shared" si="73"/>
        <v>1.7967945185788554</v>
      </c>
      <c r="BI85">
        <f t="shared" si="74"/>
        <v>1.8434689989963335</v>
      </c>
      <c r="BJ85">
        <f t="shared" si="75"/>
        <v>0.4713375796178344</v>
      </c>
    </row>
    <row r="86" spans="1:62" x14ac:dyDescent="0.25">
      <c r="A86">
        <v>25</v>
      </c>
      <c r="B86">
        <v>0</v>
      </c>
      <c r="C86">
        <v>0</v>
      </c>
      <c r="D86">
        <v>2</v>
      </c>
      <c r="E86">
        <v>8</v>
      </c>
      <c r="BB86">
        <v>84</v>
      </c>
      <c r="BC86">
        <f t="shared" si="68"/>
        <v>106</v>
      </c>
      <c r="BD86">
        <f t="shared" si="69"/>
        <v>0.19099099099099098</v>
      </c>
      <c r="BE86">
        <f t="shared" si="70"/>
        <v>0.64864864864864868</v>
      </c>
      <c r="BF86">
        <f t="shared" si="71"/>
        <v>46</v>
      </c>
      <c r="BG86">
        <f t="shared" si="72"/>
        <v>0.775675</v>
      </c>
      <c r="BH86">
        <f t="shared" si="73"/>
        <v>1.8367232856583855</v>
      </c>
      <c r="BI86">
        <f t="shared" si="74"/>
        <v>1.8844349767518076</v>
      </c>
      <c r="BJ86">
        <f t="shared" si="75"/>
        <v>0.46496815286624205</v>
      </c>
    </row>
    <row r="87" spans="1:62" x14ac:dyDescent="0.25">
      <c r="A87">
        <v>25</v>
      </c>
      <c r="B87">
        <v>0</v>
      </c>
      <c r="C87">
        <v>0</v>
      </c>
      <c r="D87">
        <v>2</v>
      </c>
      <c r="E87">
        <v>8</v>
      </c>
      <c r="BB87">
        <v>85</v>
      </c>
      <c r="BC87">
        <f t="shared" si="68"/>
        <v>87</v>
      </c>
      <c r="BD87">
        <f t="shared" si="69"/>
        <v>0.15675675675675677</v>
      </c>
      <c r="BE87">
        <f t="shared" ref="BE87:BE130" si="76">(BB87-$K$2)/$K$7</f>
        <v>1.2702702702702702</v>
      </c>
      <c r="BF87">
        <f t="shared" si="71"/>
        <v>47</v>
      </c>
      <c r="BG87">
        <f t="shared" si="72"/>
        <v>0.79253750000000001</v>
      </c>
      <c r="BH87">
        <f t="shared" si="73"/>
        <v>1.8766520527379156</v>
      </c>
      <c r="BI87">
        <f t="shared" si="74"/>
        <v>1.9254009545072819</v>
      </c>
      <c r="BJ87">
        <f t="shared" si="75"/>
        <v>0.45859872611464969</v>
      </c>
    </row>
    <row r="88" spans="1:62" x14ac:dyDescent="0.25">
      <c r="A88">
        <v>27</v>
      </c>
      <c r="B88">
        <v>0</v>
      </c>
      <c r="C88">
        <v>0</v>
      </c>
      <c r="D88">
        <v>2</v>
      </c>
      <c r="E88">
        <v>9</v>
      </c>
      <c r="BB88">
        <v>86</v>
      </c>
      <c r="BC88">
        <f t="shared" si="68"/>
        <v>70</v>
      </c>
      <c r="BD88">
        <f t="shared" si="69"/>
        <v>0.12612612612612611</v>
      </c>
      <c r="BE88">
        <f t="shared" si="76"/>
        <v>1.2972972972972974</v>
      </c>
      <c r="BF88">
        <f t="shared" si="71"/>
        <v>48</v>
      </c>
      <c r="BG88">
        <f t="shared" si="72"/>
        <v>0.8093999999999999</v>
      </c>
      <c r="BH88">
        <f t="shared" si="73"/>
        <v>1.9165808198174457</v>
      </c>
      <c r="BI88">
        <f t="shared" si="74"/>
        <v>1.9663669322627559</v>
      </c>
      <c r="BJ88">
        <f t="shared" si="75"/>
        <v>0.45222929936305734</v>
      </c>
    </row>
    <row r="89" spans="1:62" x14ac:dyDescent="0.25">
      <c r="A89">
        <v>28</v>
      </c>
      <c r="B89">
        <v>0</v>
      </c>
      <c r="C89">
        <v>0</v>
      </c>
      <c r="D89">
        <v>2</v>
      </c>
      <c r="E89">
        <v>14</v>
      </c>
      <c r="BB89">
        <v>87</v>
      </c>
      <c r="BC89">
        <f t="shared" si="68"/>
        <v>70</v>
      </c>
      <c r="BD89">
        <f t="shared" si="69"/>
        <v>0.12612612612612611</v>
      </c>
      <c r="BE89">
        <f t="shared" si="76"/>
        <v>1.3243243243243243</v>
      </c>
      <c r="BF89">
        <f t="shared" si="71"/>
        <v>49</v>
      </c>
      <c r="BG89">
        <f t="shared" si="72"/>
        <v>0.82626250000000001</v>
      </c>
      <c r="BH89">
        <f t="shared" si="73"/>
        <v>1.956509586896976</v>
      </c>
      <c r="BI89">
        <f t="shared" si="74"/>
        <v>2.00733291001823</v>
      </c>
      <c r="BJ89">
        <f t="shared" si="75"/>
        <v>0.44585987261146498</v>
      </c>
    </row>
    <row r="90" spans="1:62" x14ac:dyDescent="0.25">
      <c r="A90">
        <v>31</v>
      </c>
      <c r="B90">
        <v>0</v>
      </c>
      <c r="C90">
        <v>0</v>
      </c>
      <c r="D90">
        <v>2</v>
      </c>
      <c r="E90">
        <v>13</v>
      </c>
      <c r="BB90">
        <v>88</v>
      </c>
      <c r="BC90">
        <f t="shared" si="68"/>
        <v>68</v>
      </c>
      <c r="BD90">
        <f t="shared" si="69"/>
        <v>0.12252252252252252</v>
      </c>
      <c r="BE90">
        <f t="shared" si="76"/>
        <v>1.3513513513513513</v>
      </c>
      <c r="BF90">
        <f t="shared" si="71"/>
        <v>50</v>
      </c>
      <c r="BG90">
        <f t="shared" si="72"/>
        <v>0.84312500000000001</v>
      </c>
      <c r="BH90">
        <f t="shared" si="73"/>
        <v>1.996438353976506</v>
      </c>
      <c r="BI90">
        <f t="shared" si="74"/>
        <v>2.0482988877737038</v>
      </c>
      <c r="BJ90">
        <f t="shared" si="75"/>
        <v>0.43949044585987262</v>
      </c>
    </row>
    <row r="91" spans="1:62" x14ac:dyDescent="0.25">
      <c r="A91">
        <v>41</v>
      </c>
      <c r="B91">
        <v>0</v>
      </c>
      <c r="C91">
        <v>0</v>
      </c>
      <c r="D91">
        <v>2</v>
      </c>
      <c r="E91">
        <v>12</v>
      </c>
      <c r="BB91">
        <v>89</v>
      </c>
      <c r="BC91">
        <f t="shared" si="68"/>
        <v>79</v>
      </c>
      <c r="BD91">
        <f t="shared" si="69"/>
        <v>0.14234234234234233</v>
      </c>
      <c r="BE91">
        <f t="shared" si="76"/>
        <v>1.3783783783783783</v>
      </c>
      <c r="BF91">
        <f t="shared" si="71"/>
        <v>51</v>
      </c>
      <c r="BG91">
        <f t="shared" si="72"/>
        <v>0.8599874999999999</v>
      </c>
      <c r="BH91">
        <f t="shared" si="73"/>
        <v>2.0363671210560361</v>
      </c>
      <c r="BI91">
        <f t="shared" si="74"/>
        <v>2.0892648655291781</v>
      </c>
      <c r="BJ91">
        <f t="shared" si="75"/>
        <v>0.43312101910828027</v>
      </c>
    </row>
    <row r="92" spans="1:62" x14ac:dyDescent="0.25">
      <c r="A92">
        <v>44</v>
      </c>
      <c r="B92">
        <v>0</v>
      </c>
      <c r="C92">
        <v>0</v>
      </c>
      <c r="D92">
        <v>2</v>
      </c>
      <c r="E92">
        <v>33</v>
      </c>
      <c r="BB92">
        <v>90</v>
      </c>
      <c r="BC92">
        <f t="shared" si="68"/>
        <v>60</v>
      </c>
      <c r="BD92">
        <f t="shared" si="69"/>
        <v>0.10810810810810811</v>
      </c>
      <c r="BE92">
        <f t="shared" si="76"/>
        <v>1.4054054054054055</v>
      </c>
      <c r="BF92">
        <f t="shared" si="71"/>
        <v>52</v>
      </c>
      <c r="BG92">
        <f t="shared" si="72"/>
        <v>0.87684999999999991</v>
      </c>
      <c r="BH92">
        <f t="shared" si="73"/>
        <v>2.0762958881355664</v>
      </c>
      <c r="BI92">
        <f t="shared" si="74"/>
        <v>2.1302308432846524</v>
      </c>
      <c r="BJ92">
        <f t="shared" si="75"/>
        <v>0.42675159235668791</v>
      </c>
    </row>
    <row r="93" spans="1:62" x14ac:dyDescent="0.25">
      <c r="A93">
        <v>45</v>
      </c>
      <c r="B93">
        <v>0</v>
      </c>
      <c r="C93">
        <v>0</v>
      </c>
      <c r="D93">
        <v>2</v>
      </c>
      <c r="E93">
        <v>31</v>
      </c>
      <c r="BB93">
        <v>91</v>
      </c>
      <c r="BC93">
        <f t="shared" si="68"/>
        <v>70</v>
      </c>
      <c r="BD93">
        <f t="shared" si="69"/>
        <v>0.12612612612612611</v>
      </c>
      <c r="BE93">
        <f t="shared" si="76"/>
        <v>1.4324324324324325</v>
      </c>
      <c r="BF93">
        <f t="shared" si="71"/>
        <v>53</v>
      </c>
      <c r="BG93">
        <f t="shared" si="72"/>
        <v>0.89371250000000002</v>
      </c>
      <c r="BH93">
        <f t="shared" si="73"/>
        <v>2.1162246552150963</v>
      </c>
      <c r="BI93">
        <f t="shared" si="74"/>
        <v>2.1711968210401262</v>
      </c>
      <c r="BJ93">
        <f t="shared" si="75"/>
        <v>0.42038216560509556</v>
      </c>
    </row>
    <row r="94" spans="1:62" x14ac:dyDescent="0.25">
      <c r="A94">
        <v>52</v>
      </c>
      <c r="B94">
        <v>0</v>
      </c>
      <c r="C94">
        <v>0</v>
      </c>
      <c r="D94">
        <v>2</v>
      </c>
      <c r="E94">
        <v>52</v>
      </c>
      <c r="BB94">
        <v>92</v>
      </c>
      <c r="BC94">
        <f t="shared" si="68"/>
        <v>48</v>
      </c>
      <c r="BD94">
        <f t="shared" si="69"/>
        <v>8.6486486486486491E-2</v>
      </c>
      <c r="BE94">
        <f t="shared" si="76"/>
        <v>1.4594594594594594</v>
      </c>
      <c r="BF94">
        <f t="shared" si="71"/>
        <v>54</v>
      </c>
      <c r="BG94">
        <f t="shared" si="72"/>
        <v>0.91057500000000002</v>
      </c>
      <c r="BH94">
        <f t="shared" si="73"/>
        <v>2.1561534222946266</v>
      </c>
      <c r="BI94">
        <f t="shared" si="74"/>
        <v>2.2121627987956005</v>
      </c>
      <c r="BJ94">
        <f t="shared" si="75"/>
        <v>0.4140127388535032</v>
      </c>
    </row>
    <row r="95" spans="1:62" x14ac:dyDescent="0.25">
      <c r="A95">
        <v>13</v>
      </c>
      <c r="B95">
        <v>2</v>
      </c>
      <c r="C95">
        <v>0</v>
      </c>
      <c r="D95">
        <v>2</v>
      </c>
      <c r="E95">
        <v>8</v>
      </c>
      <c r="BB95">
        <v>93</v>
      </c>
      <c r="BC95">
        <f t="shared" si="68"/>
        <v>43</v>
      </c>
      <c r="BD95">
        <f t="shared" si="69"/>
        <v>7.7477477477477477E-2</v>
      </c>
      <c r="BE95">
        <f t="shared" si="76"/>
        <v>1.4864864864864864</v>
      </c>
      <c r="BF95">
        <f t="shared" si="71"/>
        <v>55</v>
      </c>
      <c r="BG95">
        <f t="shared" si="72"/>
        <v>0.92743749999999991</v>
      </c>
      <c r="BH95">
        <f t="shared" si="73"/>
        <v>2.1960821893741564</v>
      </c>
      <c r="BI95">
        <f t="shared" si="74"/>
        <v>2.2531287765510744</v>
      </c>
      <c r="BJ95">
        <f t="shared" si="75"/>
        <v>0.40764331210191085</v>
      </c>
    </row>
    <row r="96" spans="1:62" x14ac:dyDescent="0.25">
      <c r="A96">
        <v>14</v>
      </c>
      <c r="B96">
        <v>2</v>
      </c>
      <c r="C96">
        <v>0</v>
      </c>
      <c r="D96">
        <v>2</v>
      </c>
      <c r="E96">
        <v>4</v>
      </c>
      <c r="BB96">
        <v>94</v>
      </c>
      <c r="BC96">
        <f t="shared" si="68"/>
        <v>41</v>
      </c>
      <c r="BD96">
        <f t="shared" si="69"/>
        <v>7.3873873873873869E-2</v>
      </c>
      <c r="BE96">
        <f t="shared" si="76"/>
        <v>1.5135135135135136</v>
      </c>
      <c r="BF96">
        <f t="shared" si="71"/>
        <v>56</v>
      </c>
      <c r="BG96">
        <f t="shared" si="72"/>
        <v>0.94429999999999992</v>
      </c>
      <c r="BH96">
        <f t="shared" si="73"/>
        <v>2.2360109564536867</v>
      </c>
      <c r="BI96">
        <f t="shared" si="74"/>
        <v>2.2940947543065486</v>
      </c>
      <c r="BJ96">
        <f t="shared" si="75"/>
        <v>0.40127388535031849</v>
      </c>
    </row>
    <row r="97" spans="1:62" x14ac:dyDescent="0.25">
      <c r="A97">
        <v>17</v>
      </c>
      <c r="B97">
        <v>2</v>
      </c>
      <c r="C97">
        <v>0</v>
      </c>
      <c r="D97">
        <v>2</v>
      </c>
      <c r="E97">
        <v>17</v>
      </c>
      <c r="BB97">
        <v>95</v>
      </c>
      <c r="BC97">
        <f t="shared" si="68"/>
        <v>61</v>
      </c>
      <c r="BD97">
        <f t="shared" si="69"/>
        <v>0.10990990990990991</v>
      </c>
      <c r="BE97">
        <f t="shared" si="76"/>
        <v>1.5405405405405406</v>
      </c>
      <c r="BF97">
        <f t="shared" si="71"/>
        <v>57</v>
      </c>
      <c r="BG97">
        <f t="shared" si="72"/>
        <v>0.96116250000000003</v>
      </c>
      <c r="BH97">
        <f t="shared" si="73"/>
        <v>2.2759397235332166</v>
      </c>
      <c r="BI97">
        <f t="shared" si="74"/>
        <v>2.3350607320620225</v>
      </c>
      <c r="BJ97">
        <f t="shared" si="75"/>
        <v>0.39490445859872614</v>
      </c>
    </row>
    <row r="98" spans="1:62" x14ac:dyDescent="0.25">
      <c r="A98">
        <v>18</v>
      </c>
      <c r="B98">
        <v>2</v>
      </c>
      <c r="C98">
        <v>0</v>
      </c>
      <c r="D98">
        <v>2</v>
      </c>
      <c r="E98">
        <v>6</v>
      </c>
      <c r="BB98">
        <v>96</v>
      </c>
      <c r="BC98">
        <f t="shared" si="68"/>
        <v>56</v>
      </c>
      <c r="BD98">
        <f t="shared" si="69"/>
        <v>0.1009009009009009</v>
      </c>
      <c r="BE98">
        <f t="shared" si="76"/>
        <v>1.5675675675675675</v>
      </c>
      <c r="BF98">
        <f t="shared" si="71"/>
        <v>58</v>
      </c>
      <c r="BG98">
        <f t="shared" si="72"/>
        <v>0.97802500000000003</v>
      </c>
      <c r="BH98">
        <f t="shared" si="73"/>
        <v>2.3158684906127469</v>
      </c>
      <c r="BI98">
        <f t="shared" si="74"/>
        <v>2.3760267098174968</v>
      </c>
      <c r="BJ98">
        <f t="shared" si="75"/>
        <v>0.38853503184713378</v>
      </c>
    </row>
    <row r="99" spans="1:62" x14ac:dyDescent="0.25">
      <c r="A99">
        <v>18</v>
      </c>
      <c r="B99">
        <v>2</v>
      </c>
      <c r="C99">
        <v>0</v>
      </c>
      <c r="D99">
        <v>2</v>
      </c>
      <c r="E99">
        <v>11</v>
      </c>
      <c r="BB99">
        <v>97</v>
      </c>
      <c r="BC99">
        <f t="shared" si="68"/>
        <v>44</v>
      </c>
      <c r="BD99">
        <f t="shared" si="69"/>
        <v>7.9279279279279274E-2</v>
      </c>
      <c r="BE99">
        <f t="shared" si="76"/>
        <v>1.5945945945945945</v>
      </c>
      <c r="BF99">
        <f t="shared" si="71"/>
        <v>59</v>
      </c>
      <c r="BG99">
        <f t="shared" si="72"/>
        <v>0.99488749999999992</v>
      </c>
      <c r="BH99">
        <f t="shared" si="73"/>
        <v>2.3557972576922772</v>
      </c>
      <c r="BI99">
        <f t="shared" si="74"/>
        <v>2.4169926875729706</v>
      </c>
      <c r="BJ99">
        <f t="shared" si="75"/>
        <v>0.38216560509554143</v>
      </c>
    </row>
    <row r="100" spans="1:62" x14ac:dyDescent="0.25">
      <c r="A100">
        <v>19</v>
      </c>
      <c r="B100">
        <v>2</v>
      </c>
      <c r="C100">
        <v>0</v>
      </c>
      <c r="D100">
        <v>2</v>
      </c>
      <c r="E100">
        <v>11</v>
      </c>
      <c r="BB100">
        <v>98</v>
      </c>
      <c r="BC100">
        <f t="shared" si="68"/>
        <v>43</v>
      </c>
      <c r="BD100">
        <f t="shared" si="69"/>
        <v>7.7477477477477477E-2</v>
      </c>
      <c r="BE100">
        <f t="shared" si="76"/>
        <v>1.6216216216216217</v>
      </c>
      <c r="BF100">
        <f t="shared" si="71"/>
        <v>60</v>
      </c>
      <c r="BG100">
        <f t="shared" si="72"/>
        <v>1.0117499999999999</v>
      </c>
      <c r="BH100">
        <f t="shared" si="73"/>
        <v>2.3957260247718071</v>
      </c>
      <c r="BI100">
        <f t="shared" si="74"/>
        <v>2.4579586653284449</v>
      </c>
      <c r="BJ100">
        <f t="shared" si="75"/>
        <v>0.37579617834394907</v>
      </c>
    </row>
    <row r="101" spans="1:62" x14ac:dyDescent="0.25">
      <c r="A101">
        <v>19</v>
      </c>
      <c r="B101">
        <v>2</v>
      </c>
      <c r="C101">
        <v>0</v>
      </c>
      <c r="D101">
        <v>2</v>
      </c>
      <c r="E101">
        <v>12</v>
      </c>
      <c r="BB101">
        <v>99</v>
      </c>
      <c r="BC101">
        <f t="shared" si="68"/>
        <v>40</v>
      </c>
      <c r="BD101">
        <f t="shared" si="69"/>
        <v>7.2072072072072071E-2</v>
      </c>
      <c r="BE101">
        <f t="shared" si="76"/>
        <v>1.6486486486486487</v>
      </c>
      <c r="BF101">
        <f t="shared" si="71"/>
        <v>61</v>
      </c>
      <c r="BG101">
        <f t="shared" si="72"/>
        <v>1.0286124999999999</v>
      </c>
      <c r="BH101">
        <f t="shared" si="73"/>
        <v>2.4356547918513374</v>
      </c>
      <c r="BI101">
        <f t="shared" si="74"/>
        <v>2.4989246430839187</v>
      </c>
      <c r="BJ101">
        <f t="shared" si="75"/>
        <v>0.36942675159235666</v>
      </c>
    </row>
    <row r="102" spans="1:62" x14ac:dyDescent="0.25">
      <c r="A102">
        <v>19</v>
      </c>
      <c r="B102">
        <v>2</v>
      </c>
      <c r="C102">
        <v>0</v>
      </c>
      <c r="D102">
        <v>2</v>
      </c>
      <c r="E102">
        <v>12</v>
      </c>
      <c r="BB102">
        <v>100</v>
      </c>
      <c r="BC102">
        <f t="shared" si="68"/>
        <v>31</v>
      </c>
      <c r="BD102">
        <f t="shared" si="69"/>
        <v>5.5855855855855854E-2</v>
      </c>
      <c r="BE102">
        <f t="shared" si="76"/>
        <v>1.6756756756756757</v>
      </c>
      <c r="BF102">
        <f t="shared" si="71"/>
        <v>62</v>
      </c>
      <c r="BG102">
        <f t="shared" si="72"/>
        <v>1.0454750000000002</v>
      </c>
      <c r="BH102">
        <f t="shared" si="73"/>
        <v>2.4755835589308672</v>
      </c>
      <c r="BI102">
        <f t="shared" si="74"/>
        <v>2.539890620839393</v>
      </c>
      <c r="BJ102">
        <f t="shared" si="75"/>
        <v>0.36305732484076431</v>
      </c>
    </row>
    <row r="103" spans="1:62" x14ac:dyDescent="0.25">
      <c r="A103">
        <v>19</v>
      </c>
      <c r="B103">
        <v>2</v>
      </c>
      <c r="C103">
        <v>0</v>
      </c>
      <c r="D103">
        <v>2</v>
      </c>
      <c r="E103">
        <v>19</v>
      </c>
      <c r="BB103">
        <v>101</v>
      </c>
      <c r="BC103">
        <f t="shared" si="68"/>
        <v>28</v>
      </c>
      <c r="BD103">
        <f t="shared" si="69"/>
        <v>5.0450450450450449E-2</v>
      </c>
      <c r="BE103">
        <f t="shared" si="76"/>
        <v>1.7027027027027026</v>
      </c>
      <c r="BF103">
        <f t="shared" si="71"/>
        <v>63</v>
      </c>
      <c r="BG103">
        <f t="shared" si="72"/>
        <v>1.0623374999999999</v>
      </c>
      <c r="BH103">
        <f t="shared" si="73"/>
        <v>2.5155123260103975</v>
      </c>
      <c r="BI103">
        <f t="shared" si="74"/>
        <v>2.5808565985948673</v>
      </c>
      <c r="BJ103">
        <f t="shared" si="75"/>
        <v>0.35668789808917195</v>
      </c>
    </row>
    <row r="104" spans="1:62" x14ac:dyDescent="0.25">
      <c r="A104">
        <v>20</v>
      </c>
      <c r="B104">
        <v>2</v>
      </c>
      <c r="C104">
        <v>0</v>
      </c>
      <c r="D104">
        <v>2</v>
      </c>
      <c r="E104">
        <v>2</v>
      </c>
      <c r="BB104">
        <v>102</v>
      </c>
      <c r="BC104">
        <f t="shared" si="68"/>
        <v>28</v>
      </c>
      <c r="BD104">
        <f t="shared" si="69"/>
        <v>5.0450450450450449E-2</v>
      </c>
      <c r="BE104">
        <f t="shared" si="76"/>
        <v>1.7297297297297298</v>
      </c>
      <c r="BF104">
        <f t="shared" si="71"/>
        <v>64</v>
      </c>
      <c r="BG104">
        <f t="shared" si="72"/>
        <v>1.0791999999999999</v>
      </c>
      <c r="BH104">
        <f t="shared" si="73"/>
        <v>2.5554410930899278</v>
      </c>
      <c r="BI104">
        <f t="shared" si="74"/>
        <v>2.6218225763503411</v>
      </c>
      <c r="BJ104">
        <f t="shared" si="75"/>
        <v>0.3503184713375796</v>
      </c>
    </row>
    <row r="105" spans="1:62" x14ac:dyDescent="0.25">
      <c r="A105">
        <v>20</v>
      </c>
      <c r="B105">
        <v>2</v>
      </c>
      <c r="C105">
        <v>0</v>
      </c>
      <c r="D105">
        <v>2</v>
      </c>
      <c r="E105">
        <v>9</v>
      </c>
      <c r="BB105">
        <v>103</v>
      </c>
      <c r="BC105">
        <f t="shared" si="68"/>
        <v>37</v>
      </c>
      <c r="BD105">
        <f t="shared" si="69"/>
        <v>6.6666666666666666E-2</v>
      </c>
      <c r="BE105">
        <f t="shared" si="76"/>
        <v>1.7567567567567568</v>
      </c>
      <c r="BF105">
        <f t="shared" si="71"/>
        <v>65</v>
      </c>
      <c r="BG105">
        <f t="shared" si="72"/>
        <v>1.0960624999999999</v>
      </c>
      <c r="BH105">
        <f t="shared" si="73"/>
        <v>2.5953698601694577</v>
      </c>
      <c r="BI105">
        <f t="shared" si="74"/>
        <v>2.6627885541058154</v>
      </c>
      <c r="BJ105">
        <f t="shared" si="75"/>
        <v>0.34394904458598724</v>
      </c>
    </row>
    <row r="106" spans="1:62" x14ac:dyDescent="0.25">
      <c r="A106">
        <v>21</v>
      </c>
      <c r="B106">
        <v>2</v>
      </c>
      <c r="C106">
        <v>0</v>
      </c>
      <c r="D106">
        <v>2</v>
      </c>
      <c r="E106">
        <v>12</v>
      </c>
      <c r="BB106">
        <v>104</v>
      </c>
      <c r="BC106">
        <f t="shared" si="68"/>
        <v>26</v>
      </c>
      <c r="BD106">
        <f t="shared" si="69"/>
        <v>4.6846846846846847E-2</v>
      </c>
      <c r="BE106">
        <f t="shared" si="76"/>
        <v>1.7837837837837838</v>
      </c>
      <c r="BF106">
        <f t="shared" si="71"/>
        <v>66</v>
      </c>
      <c r="BG106">
        <f t="shared" si="72"/>
        <v>1.1129249999999999</v>
      </c>
      <c r="BH106">
        <f t="shared" si="73"/>
        <v>2.635298627248988</v>
      </c>
      <c r="BI106">
        <f t="shared" si="74"/>
        <v>2.7037545318612892</v>
      </c>
      <c r="BJ106">
        <f t="shared" si="75"/>
        <v>0.33757961783439489</v>
      </c>
    </row>
    <row r="107" spans="1:62" x14ac:dyDescent="0.25">
      <c r="A107">
        <v>21</v>
      </c>
      <c r="B107">
        <v>2</v>
      </c>
      <c r="C107">
        <v>0</v>
      </c>
      <c r="D107">
        <v>2</v>
      </c>
      <c r="E107">
        <v>19</v>
      </c>
      <c r="BB107">
        <v>105</v>
      </c>
      <c r="BC107">
        <f t="shared" si="68"/>
        <v>39</v>
      </c>
      <c r="BD107">
        <f t="shared" si="69"/>
        <v>7.0270270270270274E-2</v>
      </c>
      <c r="BE107">
        <f t="shared" si="76"/>
        <v>1.8108108108108107</v>
      </c>
      <c r="BF107">
        <f t="shared" si="71"/>
        <v>67</v>
      </c>
      <c r="BG107">
        <f t="shared" si="72"/>
        <v>1.1297874999999999</v>
      </c>
      <c r="BH107">
        <f t="shared" si="73"/>
        <v>2.6752273943285179</v>
      </c>
      <c r="BI107">
        <f t="shared" si="74"/>
        <v>2.7447205096167635</v>
      </c>
      <c r="BJ107">
        <f t="shared" si="75"/>
        <v>0.33121019108280253</v>
      </c>
    </row>
    <row r="108" spans="1:62" x14ac:dyDescent="0.25">
      <c r="A108">
        <v>22</v>
      </c>
      <c r="B108">
        <v>2</v>
      </c>
      <c r="C108">
        <v>0</v>
      </c>
      <c r="D108">
        <v>2</v>
      </c>
      <c r="E108">
        <v>3</v>
      </c>
      <c r="BB108">
        <v>106</v>
      </c>
      <c r="BC108">
        <f t="shared" si="68"/>
        <v>30</v>
      </c>
      <c r="BD108">
        <f t="shared" si="69"/>
        <v>5.4054054054054057E-2</v>
      </c>
      <c r="BE108">
        <f t="shared" si="76"/>
        <v>1.8378378378378379</v>
      </c>
      <c r="BF108">
        <f t="shared" si="71"/>
        <v>68</v>
      </c>
      <c r="BG108">
        <f t="shared" si="72"/>
        <v>1.1466499999999999</v>
      </c>
      <c r="BH108">
        <f t="shared" si="73"/>
        <v>2.7151561614080482</v>
      </c>
      <c r="BI108">
        <f t="shared" si="74"/>
        <v>2.7856864873722373</v>
      </c>
      <c r="BJ108">
        <f t="shared" si="75"/>
        <v>0.32484076433121017</v>
      </c>
    </row>
    <row r="109" spans="1:62" x14ac:dyDescent="0.25">
      <c r="A109">
        <v>22</v>
      </c>
      <c r="B109">
        <v>2</v>
      </c>
      <c r="C109">
        <v>0</v>
      </c>
      <c r="D109">
        <v>2</v>
      </c>
      <c r="E109">
        <v>11</v>
      </c>
      <c r="BB109">
        <v>107</v>
      </c>
      <c r="BC109">
        <f t="shared" si="68"/>
        <v>24</v>
      </c>
      <c r="BD109">
        <f t="shared" si="69"/>
        <v>4.3243243243243246E-2</v>
      </c>
      <c r="BE109">
        <f t="shared" si="76"/>
        <v>1.8648648648648649</v>
      </c>
      <c r="BF109">
        <f t="shared" si="71"/>
        <v>69</v>
      </c>
      <c r="BG109">
        <f t="shared" si="72"/>
        <v>1.1635124999999999</v>
      </c>
      <c r="BH109">
        <f t="shared" si="73"/>
        <v>2.7550849284875785</v>
      </c>
      <c r="BI109">
        <f t="shared" si="74"/>
        <v>2.8266524651277116</v>
      </c>
      <c r="BJ109">
        <f t="shared" si="75"/>
        <v>0.31847133757961782</v>
      </c>
    </row>
    <row r="110" spans="1:62" x14ac:dyDescent="0.25">
      <c r="A110">
        <v>22</v>
      </c>
      <c r="B110">
        <v>2</v>
      </c>
      <c r="C110">
        <v>0</v>
      </c>
      <c r="D110">
        <v>2</v>
      </c>
      <c r="E110">
        <v>12</v>
      </c>
      <c r="BB110">
        <v>108</v>
      </c>
      <c r="BC110">
        <f t="shared" si="68"/>
        <v>27</v>
      </c>
      <c r="BD110">
        <f t="shared" si="69"/>
        <v>4.8648648648648651E-2</v>
      </c>
      <c r="BE110">
        <f t="shared" si="76"/>
        <v>1.8918918918918919</v>
      </c>
      <c r="BF110">
        <f t="shared" si="71"/>
        <v>70</v>
      </c>
      <c r="BG110">
        <f t="shared" si="72"/>
        <v>1.180375</v>
      </c>
      <c r="BH110">
        <f t="shared" si="73"/>
        <v>2.7950136955671083</v>
      </c>
      <c r="BI110">
        <f t="shared" si="74"/>
        <v>2.8676184428831855</v>
      </c>
      <c r="BJ110">
        <f t="shared" si="75"/>
        <v>0.31210191082802546</v>
      </c>
    </row>
    <row r="111" spans="1:62" x14ac:dyDescent="0.25">
      <c r="A111">
        <v>23</v>
      </c>
      <c r="B111">
        <v>2</v>
      </c>
      <c r="C111">
        <v>0</v>
      </c>
      <c r="D111">
        <v>2</v>
      </c>
      <c r="E111">
        <v>9</v>
      </c>
      <c r="BB111">
        <v>109</v>
      </c>
      <c r="BC111">
        <f t="shared" si="68"/>
        <v>28</v>
      </c>
      <c r="BD111">
        <f t="shared" si="69"/>
        <v>5.0450450450450449E-2</v>
      </c>
      <c r="BE111">
        <f t="shared" si="76"/>
        <v>1.9189189189189189</v>
      </c>
      <c r="BF111">
        <f t="shared" si="71"/>
        <v>71</v>
      </c>
      <c r="BG111">
        <f t="shared" si="72"/>
        <v>1.1972375</v>
      </c>
      <c r="BH111">
        <f t="shared" si="73"/>
        <v>2.8349424626466386</v>
      </c>
      <c r="BI111">
        <f t="shared" si="74"/>
        <v>2.9085844206386597</v>
      </c>
      <c r="BJ111">
        <f t="shared" si="75"/>
        <v>0.30573248407643311</v>
      </c>
    </row>
    <row r="112" spans="1:62" x14ac:dyDescent="0.25">
      <c r="A112">
        <v>23</v>
      </c>
      <c r="B112">
        <v>2</v>
      </c>
      <c r="C112">
        <v>0</v>
      </c>
      <c r="D112">
        <v>2</v>
      </c>
      <c r="E112">
        <v>10</v>
      </c>
      <c r="BB112">
        <v>110</v>
      </c>
      <c r="BC112">
        <f t="shared" si="68"/>
        <v>25</v>
      </c>
      <c r="BD112">
        <f t="shared" si="69"/>
        <v>4.5045045045045043E-2</v>
      </c>
      <c r="BE112">
        <f t="shared" si="76"/>
        <v>1.9459459459459461</v>
      </c>
      <c r="BF112">
        <f t="shared" si="71"/>
        <v>72</v>
      </c>
      <c r="BG112">
        <f t="shared" si="72"/>
        <v>1.2141</v>
      </c>
      <c r="BH112">
        <f t="shared" si="73"/>
        <v>2.8748712297261685</v>
      </c>
      <c r="BI112">
        <f t="shared" si="74"/>
        <v>2.9495503983941336</v>
      </c>
      <c r="BJ112">
        <f t="shared" si="75"/>
        <v>0.29936305732484075</v>
      </c>
    </row>
    <row r="113" spans="1:62" x14ac:dyDescent="0.25">
      <c r="A113">
        <v>23</v>
      </c>
      <c r="B113">
        <v>2</v>
      </c>
      <c r="C113">
        <v>0</v>
      </c>
      <c r="D113">
        <v>2</v>
      </c>
      <c r="E113">
        <v>21</v>
      </c>
      <c r="BB113">
        <v>111</v>
      </c>
      <c r="BC113">
        <f t="shared" si="68"/>
        <v>19</v>
      </c>
      <c r="BD113">
        <f t="shared" si="69"/>
        <v>3.4234234234234232E-2</v>
      </c>
      <c r="BE113">
        <f t="shared" si="76"/>
        <v>1.972972972972973</v>
      </c>
      <c r="BF113">
        <f t="shared" si="71"/>
        <v>73</v>
      </c>
      <c r="BG113">
        <f t="shared" si="72"/>
        <v>1.2309625</v>
      </c>
      <c r="BH113">
        <f t="shared" si="73"/>
        <v>2.9147999968056988</v>
      </c>
      <c r="BI113">
        <f t="shared" si="74"/>
        <v>2.9905163761496079</v>
      </c>
      <c r="BJ113">
        <f t="shared" si="75"/>
        <v>0.2929936305732484</v>
      </c>
    </row>
    <row r="114" spans="1:62" x14ac:dyDescent="0.25">
      <c r="A114">
        <v>23</v>
      </c>
      <c r="B114">
        <v>2</v>
      </c>
      <c r="C114">
        <v>0</v>
      </c>
      <c r="D114">
        <v>2</v>
      </c>
      <c r="E114">
        <v>23</v>
      </c>
      <c r="BB114">
        <v>112</v>
      </c>
      <c r="BC114">
        <f t="shared" si="68"/>
        <v>17</v>
      </c>
      <c r="BD114">
        <f t="shared" si="69"/>
        <v>3.063063063063063E-2</v>
      </c>
      <c r="BE114">
        <f t="shared" si="76"/>
        <v>2</v>
      </c>
      <c r="BF114">
        <f t="shared" si="71"/>
        <v>74</v>
      </c>
      <c r="BG114">
        <f t="shared" si="72"/>
        <v>1.247825</v>
      </c>
      <c r="BH114">
        <f t="shared" si="73"/>
        <v>2.9547287638852286</v>
      </c>
      <c r="BI114">
        <f t="shared" si="74"/>
        <v>3.0314823539050821</v>
      </c>
      <c r="BJ114">
        <f t="shared" si="75"/>
        <v>0.28662420382165604</v>
      </c>
    </row>
    <row r="115" spans="1:62" x14ac:dyDescent="0.25">
      <c r="A115">
        <v>24</v>
      </c>
      <c r="B115">
        <v>2</v>
      </c>
      <c r="C115">
        <v>0</v>
      </c>
      <c r="D115">
        <v>2</v>
      </c>
      <c r="E115">
        <v>24</v>
      </c>
      <c r="BB115">
        <v>113</v>
      </c>
      <c r="BC115">
        <f t="shared" si="68"/>
        <v>29</v>
      </c>
      <c r="BD115">
        <f t="shared" si="69"/>
        <v>5.2252252252252253E-2</v>
      </c>
      <c r="BE115">
        <f t="shared" si="76"/>
        <v>2.0270270270270272</v>
      </c>
      <c r="BF115">
        <f t="shared" si="71"/>
        <v>75</v>
      </c>
      <c r="BG115">
        <f t="shared" si="72"/>
        <v>1.2646875</v>
      </c>
      <c r="BH115">
        <f t="shared" si="73"/>
        <v>2.994657530964759</v>
      </c>
      <c r="BI115">
        <f t="shared" si="74"/>
        <v>3.072448331660556</v>
      </c>
      <c r="BJ115">
        <f t="shared" si="75"/>
        <v>0.28025477707006369</v>
      </c>
    </row>
    <row r="116" spans="1:62" x14ac:dyDescent="0.25">
      <c r="A116">
        <v>25</v>
      </c>
      <c r="B116">
        <v>2</v>
      </c>
      <c r="C116">
        <v>0</v>
      </c>
      <c r="D116">
        <v>2</v>
      </c>
      <c r="E116">
        <v>19</v>
      </c>
      <c r="BB116">
        <v>114</v>
      </c>
      <c r="BC116">
        <f t="shared" si="68"/>
        <v>19</v>
      </c>
      <c r="BD116">
        <f t="shared" si="69"/>
        <v>3.4234234234234232E-2</v>
      </c>
      <c r="BE116">
        <f t="shared" si="76"/>
        <v>2.0540540540540539</v>
      </c>
      <c r="BF116">
        <f t="shared" si="71"/>
        <v>76</v>
      </c>
      <c r="BG116">
        <f t="shared" si="72"/>
        <v>1.28155</v>
      </c>
      <c r="BH116">
        <f t="shared" si="73"/>
        <v>3.0345862980442893</v>
      </c>
      <c r="BI116">
        <f t="shared" si="74"/>
        <v>3.1134143094160303</v>
      </c>
      <c r="BJ116">
        <f t="shared" si="75"/>
        <v>0.27388535031847133</v>
      </c>
    </row>
    <row r="117" spans="1:62" x14ac:dyDescent="0.25">
      <c r="A117">
        <v>26</v>
      </c>
      <c r="B117">
        <v>2</v>
      </c>
      <c r="C117">
        <v>0</v>
      </c>
      <c r="D117">
        <v>2</v>
      </c>
      <c r="E117">
        <v>21</v>
      </c>
      <c r="BB117">
        <v>115</v>
      </c>
      <c r="BC117">
        <f t="shared" si="68"/>
        <v>13</v>
      </c>
      <c r="BD117">
        <f t="shared" si="69"/>
        <v>2.3423423423423424E-2</v>
      </c>
      <c r="BE117">
        <f t="shared" si="76"/>
        <v>2.0810810810810811</v>
      </c>
      <c r="BF117">
        <f t="shared" si="71"/>
        <v>77</v>
      </c>
      <c r="BG117">
        <f t="shared" si="72"/>
        <v>1.2984125</v>
      </c>
      <c r="BH117">
        <f t="shared" si="73"/>
        <v>3.0745150651238191</v>
      </c>
      <c r="BI117">
        <f t="shared" si="74"/>
        <v>3.1543802871715041</v>
      </c>
      <c r="BJ117">
        <f t="shared" si="75"/>
        <v>0.26751592356687898</v>
      </c>
    </row>
    <row r="118" spans="1:62" x14ac:dyDescent="0.25">
      <c r="A118">
        <v>27</v>
      </c>
      <c r="B118">
        <v>2</v>
      </c>
      <c r="C118">
        <v>0</v>
      </c>
      <c r="D118">
        <v>2</v>
      </c>
      <c r="E118">
        <v>26</v>
      </c>
      <c r="BB118">
        <v>116</v>
      </c>
      <c r="BC118">
        <f t="shared" si="68"/>
        <v>14</v>
      </c>
      <c r="BD118">
        <f t="shared" si="69"/>
        <v>2.5225225225225224E-2</v>
      </c>
      <c r="BE118">
        <f t="shared" si="76"/>
        <v>2.1081081081081079</v>
      </c>
      <c r="BF118">
        <f t="shared" si="71"/>
        <v>78</v>
      </c>
      <c r="BG118">
        <f t="shared" si="72"/>
        <v>1.315275</v>
      </c>
      <c r="BH118">
        <f t="shared" si="73"/>
        <v>3.1144438322033494</v>
      </c>
      <c r="BI118">
        <f t="shared" si="74"/>
        <v>3.1953462649269784</v>
      </c>
      <c r="BJ118">
        <f t="shared" si="75"/>
        <v>0.26114649681528662</v>
      </c>
    </row>
    <row r="119" spans="1:62" x14ac:dyDescent="0.25">
      <c r="A119">
        <v>28</v>
      </c>
      <c r="B119">
        <v>2</v>
      </c>
      <c r="C119">
        <v>0</v>
      </c>
      <c r="D119">
        <v>2</v>
      </c>
      <c r="E119">
        <v>19</v>
      </c>
      <c r="BB119">
        <v>117</v>
      </c>
      <c r="BC119">
        <f t="shared" si="68"/>
        <v>21</v>
      </c>
      <c r="BD119">
        <f t="shared" si="69"/>
        <v>3.783783783783784E-2</v>
      </c>
      <c r="BE119">
        <f t="shared" si="76"/>
        <v>2.1351351351351351</v>
      </c>
      <c r="BF119">
        <f t="shared" si="71"/>
        <v>79</v>
      </c>
      <c r="BG119">
        <f t="shared" si="72"/>
        <v>1.3321375</v>
      </c>
      <c r="BH119">
        <f t="shared" si="73"/>
        <v>3.1543725992828793</v>
      </c>
      <c r="BI119">
        <f t="shared" si="74"/>
        <v>3.2363122426824522</v>
      </c>
      <c r="BJ119">
        <f t="shared" si="75"/>
        <v>0.25477707006369427</v>
      </c>
    </row>
    <row r="120" spans="1:62" x14ac:dyDescent="0.25">
      <c r="A120">
        <v>30</v>
      </c>
      <c r="B120">
        <v>2</v>
      </c>
      <c r="C120">
        <v>0</v>
      </c>
      <c r="D120">
        <v>2</v>
      </c>
      <c r="E120">
        <v>25</v>
      </c>
      <c r="BB120">
        <v>118</v>
      </c>
      <c r="BC120">
        <f t="shared" si="68"/>
        <v>20</v>
      </c>
      <c r="BD120">
        <f t="shared" si="69"/>
        <v>3.6036036036036036E-2</v>
      </c>
      <c r="BE120">
        <f t="shared" si="76"/>
        <v>2.1621621621621623</v>
      </c>
      <c r="BF120">
        <f t="shared" si="71"/>
        <v>80</v>
      </c>
      <c r="BG120">
        <f t="shared" si="72"/>
        <v>1.349</v>
      </c>
      <c r="BH120">
        <f t="shared" si="73"/>
        <v>3.1943013663624096</v>
      </c>
      <c r="BI120">
        <f t="shared" si="74"/>
        <v>3.2772782204379265</v>
      </c>
      <c r="BJ120">
        <f t="shared" si="75"/>
        <v>0.24840764331210191</v>
      </c>
    </row>
    <row r="121" spans="1:62" x14ac:dyDescent="0.25">
      <c r="A121">
        <v>31</v>
      </c>
      <c r="B121">
        <v>2</v>
      </c>
      <c r="C121">
        <v>0</v>
      </c>
      <c r="D121">
        <v>2</v>
      </c>
      <c r="E121">
        <v>6</v>
      </c>
      <c r="BB121">
        <v>119</v>
      </c>
      <c r="BC121">
        <f t="shared" si="68"/>
        <v>17</v>
      </c>
      <c r="BD121">
        <f t="shared" si="69"/>
        <v>3.063063063063063E-2</v>
      </c>
      <c r="BE121">
        <f t="shared" si="76"/>
        <v>2.189189189189189</v>
      </c>
      <c r="BF121">
        <f t="shared" si="71"/>
        <v>81</v>
      </c>
      <c r="BG121">
        <f t="shared" si="72"/>
        <v>1.3658625</v>
      </c>
      <c r="BH121">
        <f t="shared" si="73"/>
        <v>3.2342301334419399</v>
      </c>
      <c r="BI121">
        <f t="shared" si="74"/>
        <v>3.3182441981934003</v>
      </c>
      <c r="BJ121">
        <f t="shared" si="75"/>
        <v>0.24203821656050956</v>
      </c>
    </row>
    <row r="122" spans="1:62" x14ac:dyDescent="0.25">
      <c r="A122">
        <v>31</v>
      </c>
      <c r="B122">
        <v>2</v>
      </c>
      <c r="C122">
        <v>0</v>
      </c>
      <c r="D122">
        <v>2</v>
      </c>
      <c r="E122">
        <v>20</v>
      </c>
      <c r="BB122">
        <v>120</v>
      </c>
      <c r="BC122">
        <f t="shared" si="68"/>
        <v>17</v>
      </c>
      <c r="BD122">
        <f t="shared" si="69"/>
        <v>3.063063063063063E-2</v>
      </c>
      <c r="BE122">
        <f t="shared" si="76"/>
        <v>2.2162162162162162</v>
      </c>
      <c r="BF122">
        <f t="shared" si="71"/>
        <v>82</v>
      </c>
      <c r="BG122">
        <f t="shared" si="72"/>
        <v>1.382725</v>
      </c>
      <c r="BH122">
        <f t="shared" si="73"/>
        <v>3.2741589005214697</v>
      </c>
      <c r="BI122">
        <f t="shared" si="74"/>
        <v>3.3592101759488746</v>
      </c>
      <c r="BJ122">
        <f t="shared" si="75"/>
        <v>0.2356687898089172</v>
      </c>
    </row>
    <row r="123" spans="1:62" x14ac:dyDescent="0.25">
      <c r="A123">
        <v>17</v>
      </c>
      <c r="B123">
        <v>5</v>
      </c>
      <c r="C123">
        <v>0</v>
      </c>
      <c r="D123">
        <v>2</v>
      </c>
      <c r="E123">
        <v>2</v>
      </c>
      <c r="BB123">
        <v>121</v>
      </c>
      <c r="BC123">
        <f t="shared" si="68"/>
        <v>14</v>
      </c>
      <c r="BD123">
        <f t="shared" si="69"/>
        <v>2.5225225225225224E-2</v>
      </c>
      <c r="BE123">
        <f t="shared" si="76"/>
        <v>2.2432432432432434</v>
      </c>
      <c r="BF123">
        <f t="shared" si="71"/>
        <v>83</v>
      </c>
      <c r="BG123">
        <f t="shared" si="72"/>
        <v>1.3995875</v>
      </c>
      <c r="BH123">
        <f t="shared" si="73"/>
        <v>3.314087667601</v>
      </c>
      <c r="BI123">
        <f t="shared" si="74"/>
        <v>3.4001761537043489</v>
      </c>
      <c r="BJ123">
        <f t="shared" si="75"/>
        <v>0.22929936305732485</v>
      </c>
    </row>
    <row r="124" spans="1:62" x14ac:dyDescent="0.25">
      <c r="A124">
        <v>21</v>
      </c>
      <c r="B124">
        <v>5</v>
      </c>
      <c r="C124">
        <v>0</v>
      </c>
      <c r="D124">
        <v>2</v>
      </c>
      <c r="E124">
        <v>20</v>
      </c>
      <c r="BB124">
        <v>122</v>
      </c>
      <c r="BC124">
        <f t="shared" si="68"/>
        <v>6</v>
      </c>
      <c r="BD124">
        <f t="shared" si="69"/>
        <v>1.0810810810810811E-2</v>
      </c>
      <c r="BE124">
        <f t="shared" si="76"/>
        <v>2.2702702702702702</v>
      </c>
      <c r="BF124">
        <f t="shared" si="71"/>
        <v>84</v>
      </c>
      <c r="BG124">
        <f t="shared" si="72"/>
        <v>1.41645</v>
      </c>
      <c r="BH124">
        <f t="shared" si="73"/>
        <v>3.3540164346805299</v>
      </c>
      <c r="BI124">
        <f t="shared" si="74"/>
        <v>3.4411421314598227</v>
      </c>
      <c r="BJ124">
        <f t="shared" si="75"/>
        <v>0.22292993630573249</v>
      </c>
    </row>
    <row r="125" spans="1:62" x14ac:dyDescent="0.25">
      <c r="A125">
        <v>15</v>
      </c>
      <c r="B125">
        <v>0</v>
      </c>
      <c r="C125">
        <v>1</v>
      </c>
      <c r="D125">
        <v>2</v>
      </c>
      <c r="E125">
        <v>13</v>
      </c>
      <c r="BB125">
        <v>123</v>
      </c>
      <c r="BC125">
        <f t="shared" si="68"/>
        <v>10</v>
      </c>
      <c r="BD125">
        <f t="shared" si="69"/>
        <v>1.8018018018018018E-2</v>
      </c>
      <c r="BE125">
        <f t="shared" si="76"/>
        <v>2.2972972972972974</v>
      </c>
      <c r="BF125">
        <f t="shared" si="71"/>
        <v>85</v>
      </c>
      <c r="BG125">
        <f t="shared" si="72"/>
        <v>1.4333125</v>
      </c>
      <c r="BH125">
        <f t="shared" si="73"/>
        <v>3.3939452017600602</v>
      </c>
      <c r="BI125">
        <f t="shared" si="74"/>
        <v>3.482108109215297</v>
      </c>
      <c r="BJ125">
        <f t="shared" si="75"/>
        <v>0.21656050955414013</v>
      </c>
    </row>
    <row r="126" spans="1:62" x14ac:dyDescent="0.25">
      <c r="A126">
        <v>20</v>
      </c>
      <c r="B126">
        <v>0</v>
      </c>
      <c r="C126">
        <v>1</v>
      </c>
      <c r="D126">
        <v>2</v>
      </c>
      <c r="E126">
        <v>11</v>
      </c>
      <c r="BB126">
        <v>124</v>
      </c>
      <c r="BC126">
        <f t="shared" si="68"/>
        <v>8</v>
      </c>
      <c r="BD126">
        <f t="shared" si="69"/>
        <v>1.4414414414414415E-2</v>
      </c>
      <c r="BE126">
        <f t="shared" si="76"/>
        <v>2.3243243243243241</v>
      </c>
      <c r="BF126">
        <f t="shared" si="71"/>
        <v>86</v>
      </c>
      <c r="BG126">
        <f t="shared" si="72"/>
        <v>1.450175</v>
      </c>
      <c r="BH126">
        <f t="shared" si="73"/>
        <v>3.4338739688395905</v>
      </c>
      <c r="BI126">
        <f t="shared" si="74"/>
        <v>3.5230740869707708</v>
      </c>
      <c r="BJ126">
        <f t="shared" si="75"/>
        <v>0.21019108280254778</v>
      </c>
    </row>
    <row r="127" spans="1:62" x14ac:dyDescent="0.25">
      <c r="A127">
        <v>20</v>
      </c>
      <c r="B127">
        <v>0</v>
      </c>
      <c r="C127">
        <v>1</v>
      </c>
      <c r="D127">
        <v>2</v>
      </c>
      <c r="E127">
        <v>12</v>
      </c>
      <c r="BB127">
        <v>125</v>
      </c>
      <c r="BC127">
        <f t="shared" si="68"/>
        <v>8</v>
      </c>
      <c r="BD127">
        <f t="shared" si="69"/>
        <v>1.4414414414414415E-2</v>
      </c>
      <c r="BE127">
        <f t="shared" si="76"/>
        <v>2.3513513513513513</v>
      </c>
      <c r="BF127">
        <f t="shared" si="71"/>
        <v>87</v>
      </c>
      <c r="BG127">
        <f t="shared" si="72"/>
        <v>1.4670375</v>
      </c>
      <c r="BH127">
        <f t="shared" si="73"/>
        <v>3.4738027359191204</v>
      </c>
      <c r="BI127">
        <f t="shared" si="74"/>
        <v>3.5640400647262451</v>
      </c>
      <c r="BJ127">
        <f t="shared" si="75"/>
        <v>0.20382165605095542</v>
      </c>
    </row>
    <row r="128" spans="1:62" x14ac:dyDescent="0.25">
      <c r="A128">
        <v>23</v>
      </c>
      <c r="B128">
        <v>0</v>
      </c>
      <c r="C128">
        <v>1</v>
      </c>
      <c r="D128">
        <v>2</v>
      </c>
      <c r="E128">
        <v>10</v>
      </c>
      <c r="BB128">
        <v>126</v>
      </c>
      <c r="BC128">
        <f t="shared" si="68"/>
        <v>10</v>
      </c>
      <c r="BD128">
        <f t="shared" si="69"/>
        <v>1.8018018018018018E-2</v>
      </c>
      <c r="BE128">
        <f t="shared" si="76"/>
        <v>2.3783783783783785</v>
      </c>
      <c r="BF128">
        <f t="shared" si="71"/>
        <v>88</v>
      </c>
      <c r="BG128">
        <f t="shared" si="72"/>
        <v>1.4839</v>
      </c>
      <c r="BH128">
        <f t="shared" si="73"/>
        <v>3.5137315029986507</v>
      </c>
      <c r="BI128">
        <f t="shared" si="74"/>
        <v>3.605006042481719</v>
      </c>
      <c r="BJ128">
        <f t="shared" si="75"/>
        <v>0.19745222929936307</v>
      </c>
    </row>
    <row r="129" spans="1:62" x14ac:dyDescent="0.25">
      <c r="A129">
        <v>24</v>
      </c>
      <c r="B129">
        <v>0</v>
      </c>
      <c r="C129">
        <v>1</v>
      </c>
      <c r="D129">
        <v>2</v>
      </c>
      <c r="E129">
        <v>23</v>
      </c>
      <c r="BB129">
        <v>127</v>
      </c>
      <c r="BC129">
        <f t="shared" si="68"/>
        <v>8</v>
      </c>
      <c r="BD129">
        <f t="shared" si="69"/>
        <v>1.4414414414414415E-2</v>
      </c>
      <c r="BE129">
        <f t="shared" si="76"/>
        <v>2.4054054054054053</v>
      </c>
      <c r="BF129">
        <f t="shared" si="71"/>
        <v>89</v>
      </c>
      <c r="BG129">
        <f t="shared" si="72"/>
        <v>1.5007625</v>
      </c>
      <c r="BH129">
        <f t="shared" si="73"/>
        <v>3.5536602700781805</v>
      </c>
      <c r="BI129">
        <f t="shared" si="74"/>
        <v>3.6459720202371932</v>
      </c>
      <c r="BJ129">
        <f t="shared" si="75"/>
        <v>0.19108280254777071</v>
      </c>
    </row>
    <row r="130" spans="1:62" x14ac:dyDescent="0.25">
      <c r="A130">
        <v>26</v>
      </c>
      <c r="B130">
        <v>0</v>
      </c>
      <c r="C130">
        <v>1</v>
      </c>
      <c r="D130">
        <v>2</v>
      </c>
      <c r="E130">
        <v>10</v>
      </c>
      <c r="BB130">
        <v>128</v>
      </c>
      <c r="BC130">
        <f t="shared" si="68"/>
        <v>10</v>
      </c>
      <c r="BD130">
        <f t="shared" si="69"/>
        <v>1.8018018018018018E-2</v>
      </c>
      <c r="BE130">
        <f t="shared" si="76"/>
        <v>2.4324324324324325</v>
      </c>
      <c r="BF130">
        <f t="shared" si="71"/>
        <v>90</v>
      </c>
      <c r="BG130">
        <f t="shared" si="72"/>
        <v>1.517625</v>
      </c>
      <c r="BH130">
        <f t="shared" si="73"/>
        <v>3.5935890371577108</v>
      </c>
      <c r="BI130">
        <f t="shared" si="74"/>
        <v>3.6869379979926671</v>
      </c>
      <c r="BJ130">
        <f t="shared" si="75"/>
        <v>0.18471337579617833</v>
      </c>
    </row>
    <row r="131" spans="1:62" x14ac:dyDescent="0.25">
      <c r="A131">
        <v>26</v>
      </c>
      <c r="B131">
        <v>0</v>
      </c>
      <c r="C131">
        <v>1</v>
      </c>
      <c r="D131">
        <v>2</v>
      </c>
      <c r="E131">
        <v>11</v>
      </c>
      <c r="BB131">
        <v>129</v>
      </c>
      <c r="BC131">
        <f t="shared" ref="BC131:BC158" si="77">COUNTIFS(E:E,"=" &amp; BB131)</f>
        <v>8</v>
      </c>
      <c r="BD131">
        <f t="shared" ref="BD131:BD158" si="78">BC131/$BC$159</f>
        <v>1.4414414414414415E-2</v>
      </c>
      <c r="BE131">
        <f t="shared" ref="BE131:BE158" si="79">(BB131-$K$2)/$K$7</f>
        <v>2.4594594594594597</v>
      </c>
      <c r="BF131">
        <f t="shared" ref="BF131:BF158" si="80">ABS(BB131-$K$2)</f>
        <v>91</v>
      </c>
      <c r="BG131">
        <f t="shared" ref="BG131:BG158" si="81">0.6745*(BB131-$K$2)/$BF$159</f>
        <v>1.5344875</v>
      </c>
      <c r="BH131">
        <f t="shared" ref="BH131:BH158" si="82">(BB131-$K$2)/25.0446</f>
        <v>3.6335178042372407</v>
      </c>
      <c r="BI131">
        <f t="shared" ref="BI131:BI158" si="83">(BB131-$K$2)/24.4105</f>
        <v>3.7279039757481414</v>
      </c>
      <c r="BJ131">
        <f t="shared" ref="BJ131:BJ158" si="84">COUNTIFS(BG:BG,"&gt;=" &amp; BG131)/157</f>
        <v>0.17834394904458598</v>
      </c>
    </row>
    <row r="132" spans="1:62" x14ac:dyDescent="0.25">
      <c r="A132">
        <v>27</v>
      </c>
      <c r="B132">
        <v>0</v>
      </c>
      <c r="C132">
        <v>1</v>
      </c>
      <c r="D132">
        <v>2</v>
      </c>
      <c r="E132">
        <v>6</v>
      </c>
      <c r="BB132">
        <v>130</v>
      </c>
      <c r="BC132">
        <f t="shared" si="77"/>
        <v>2</v>
      </c>
      <c r="BD132">
        <f t="shared" si="78"/>
        <v>3.6036036036036037E-3</v>
      </c>
      <c r="BE132">
        <f t="shared" si="79"/>
        <v>2.4864864864864864</v>
      </c>
      <c r="BF132">
        <f t="shared" si="80"/>
        <v>92</v>
      </c>
      <c r="BG132">
        <f t="shared" si="81"/>
        <v>1.55135</v>
      </c>
      <c r="BH132">
        <f t="shared" si="82"/>
        <v>3.673446571316771</v>
      </c>
      <c r="BI132">
        <f t="shared" si="83"/>
        <v>3.7688699535036152</v>
      </c>
      <c r="BJ132">
        <f t="shared" si="84"/>
        <v>0.17197452229299362</v>
      </c>
    </row>
    <row r="133" spans="1:62" x14ac:dyDescent="0.25">
      <c r="A133">
        <v>27</v>
      </c>
      <c r="B133">
        <v>0</v>
      </c>
      <c r="C133">
        <v>1</v>
      </c>
      <c r="D133">
        <v>2</v>
      </c>
      <c r="E133">
        <v>16</v>
      </c>
      <c r="BB133">
        <v>131</v>
      </c>
      <c r="BC133">
        <f t="shared" si="77"/>
        <v>4</v>
      </c>
      <c r="BD133">
        <f t="shared" si="78"/>
        <v>7.2072072072072073E-3</v>
      </c>
      <c r="BE133">
        <f t="shared" si="79"/>
        <v>2.5135135135135136</v>
      </c>
      <c r="BF133">
        <f t="shared" si="80"/>
        <v>93</v>
      </c>
      <c r="BG133">
        <f t="shared" si="81"/>
        <v>1.5682125</v>
      </c>
      <c r="BH133">
        <f t="shared" si="82"/>
        <v>3.7133753383963013</v>
      </c>
      <c r="BI133">
        <f t="shared" si="83"/>
        <v>3.8098359312590895</v>
      </c>
      <c r="BJ133">
        <f t="shared" si="84"/>
        <v>0.16560509554140126</v>
      </c>
    </row>
    <row r="134" spans="1:62" x14ac:dyDescent="0.25">
      <c r="A134">
        <v>29</v>
      </c>
      <c r="B134">
        <v>0</v>
      </c>
      <c r="C134">
        <v>1</v>
      </c>
      <c r="D134">
        <v>2</v>
      </c>
      <c r="E134">
        <v>29</v>
      </c>
      <c r="BB134">
        <v>132</v>
      </c>
      <c r="BC134">
        <f t="shared" si="77"/>
        <v>6</v>
      </c>
      <c r="BD134">
        <f t="shared" si="78"/>
        <v>1.0810810810810811E-2</v>
      </c>
      <c r="BE134">
        <f t="shared" si="79"/>
        <v>2.5405405405405403</v>
      </c>
      <c r="BF134">
        <f t="shared" si="80"/>
        <v>94</v>
      </c>
      <c r="BG134">
        <f t="shared" si="81"/>
        <v>1.585075</v>
      </c>
      <c r="BH134">
        <f t="shared" si="82"/>
        <v>3.7533041054758312</v>
      </c>
      <c r="BI134">
        <f t="shared" si="83"/>
        <v>3.8508019090145638</v>
      </c>
      <c r="BJ134">
        <f t="shared" si="84"/>
        <v>0.15923566878980891</v>
      </c>
    </row>
    <row r="135" spans="1:62" x14ac:dyDescent="0.25">
      <c r="A135">
        <v>31</v>
      </c>
      <c r="B135">
        <v>0</v>
      </c>
      <c r="C135">
        <v>1</v>
      </c>
      <c r="D135">
        <v>2</v>
      </c>
      <c r="E135">
        <v>6</v>
      </c>
      <c r="BB135">
        <v>133</v>
      </c>
      <c r="BC135">
        <f t="shared" si="77"/>
        <v>6</v>
      </c>
      <c r="BD135">
        <f t="shared" si="78"/>
        <v>1.0810810810810811E-2</v>
      </c>
      <c r="BE135">
        <f t="shared" si="79"/>
        <v>2.5675675675675675</v>
      </c>
      <c r="BF135">
        <f t="shared" si="80"/>
        <v>95</v>
      </c>
      <c r="BG135">
        <f t="shared" si="81"/>
        <v>1.6019375</v>
      </c>
      <c r="BH135">
        <f t="shared" si="82"/>
        <v>3.7932328725553615</v>
      </c>
      <c r="BI135">
        <f t="shared" si="83"/>
        <v>3.8917678867700376</v>
      </c>
      <c r="BJ135">
        <f t="shared" si="84"/>
        <v>0.15286624203821655</v>
      </c>
    </row>
    <row r="136" spans="1:62" x14ac:dyDescent="0.25">
      <c r="A136">
        <v>31</v>
      </c>
      <c r="B136">
        <v>0</v>
      </c>
      <c r="C136">
        <v>1</v>
      </c>
      <c r="D136">
        <v>2</v>
      </c>
      <c r="E136">
        <v>9</v>
      </c>
      <c r="BB136">
        <v>134</v>
      </c>
      <c r="BC136">
        <f t="shared" si="77"/>
        <v>3</v>
      </c>
      <c r="BD136">
        <f t="shared" si="78"/>
        <v>5.4054054054054057E-3</v>
      </c>
      <c r="BE136">
        <f t="shared" si="79"/>
        <v>2.5945945945945947</v>
      </c>
      <c r="BF136">
        <f t="shared" si="80"/>
        <v>96</v>
      </c>
      <c r="BG136">
        <f t="shared" si="81"/>
        <v>1.6187999999999998</v>
      </c>
      <c r="BH136">
        <f t="shared" si="82"/>
        <v>3.8331616396348913</v>
      </c>
      <c r="BI136">
        <f t="shared" si="83"/>
        <v>3.9327338645255119</v>
      </c>
      <c r="BJ136">
        <f t="shared" si="84"/>
        <v>0.1464968152866242</v>
      </c>
    </row>
    <row r="137" spans="1:62" x14ac:dyDescent="0.25">
      <c r="A137">
        <v>31</v>
      </c>
      <c r="B137">
        <v>0</v>
      </c>
      <c r="C137">
        <v>1</v>
      </c>
      <c r="D137">
        <v>2</v>
      </c>
      <c r="E137">
        <v>11</v>
      </c>
      <c r="BB137">
        <v>135</v>
      </c>
      <c r="BC137">
        <f t="shared" si="77"/>
        <v>4</v>
      </c>
      <c r="BD137">
        <f t="shared" si="78"/>
        <v>7.2072072072072073E-3</v>
      </c>
      <c r="BE137">
        <f t="shared" si="79"/>
        <v>2.6216216216216215</v>
      </c>
      <c r="BF137">
        <f t="shared" si="80"/>
        <v>97</v>
      </c>
      <c r="BG137">
        <f t="shared" si="81"/>
        <v>1.6356625</v>
      </c>
      <c r="BH137">
        <f t="shared" si="82"/>
        <v>3.8730904067144216</v>
      </c>
      <c r="BI137">
        <f t="shared" si="83"/>
        <v>3.9736998422809857</v>
      </c>
      <c r="BJ137">
        <f t="shared" si="84"/>
        <v>0.14012738853503184</v>
      </c>
    </row>
    <row r="138" spans="1:62" x14ac:dyDescent="0.25">
      <c r="A138">
        <v>31</v>
      </c>
      <c r="B138">
        <v>0</v>
      </c>
      <c r="C138">
        <v>1</v>
      </c>
      <c r="D138">
        <v>2</v>
      </c>
      <c r="E138">
        <v>19</v>
      </c>
      <c r="BB138">
        <v>136</v>
      </c>
      <c r="BC138">
        <f t="shared" si="77"/>
        <v>1</v>
      </c>
      <c r="BD138">
        <f t="shared" si="78"/>
        <v>1.8018018018018018E-3</v>
      </c>
      <c r="BE138">
        <f t="shared" si="79"/>
        <v>2.6486486486486487</v>
      </c>
      <c r="BF138">
        <f t="shared" si="80"/>
        <v>98</v>
      </c>
      <c r="BG138">
        <f t="shared" si="81"/>
        <v>1.652525</v>
      </c>
      <c r="BH138">
        <f t="shared" si="82"/>
        <v>3.9130191737939519</v>
      </c>
      <c r="BI138">
        <f t="shared" si="83"/>
        <v>4.01466582003646</v>
      </c>
      <c r="BJ138">
        <f t="shared" si="84"/>
        <v>0.13375796178343949</v>
      </c>
    </row>
    <row r="139" spans="1:62" x14ac:dyDescent="0.25">
      <c r="A139">
        <v>31</v>
      </c>
      <c r="B139">
        <v>0</v>
      </c>
      <c r="C139">
        <v>1</v>
      </c>
      <c r="D139">
        <v>2</v>
      </c>
      <c r="E139">
        <v>20</v>
      </c>
      <c r="BB139">
        <v>137</v>
      </c>
      <c r="BC139">
        <f t="shared" si="77"/>
        <v>2</v>
      </c>
      <c r="BD139">
        <f t="shared" si="78"/>
        <v>3.6036036036036037E-3</v>
      </c>
      <c r="BE139">
        <f t="shared" si="79"/>
        <v>2.6756756756756759</v>
      </c>
      <c r="BF139">
        <f t="shared" si="80"/>
        <v>99</v>
      </c>
      <c r="BG139">
        <f t="shared" si="81"/>
        <v>1.6693874999999998</v>
      </c>
      <c r="BH139">
        <f t="shared" si="82"/>
        <v>3.9529479408734818</v>
      </c>
      <c r="BI139">
        <f t="shared" si="83"/>
        <v>4.0556317977919338</v>
      </c>
      <c r="BJ139">
        <f t="shared" si="84"/>
        <v>0.12738853503184713</v>
      </c>
    </row>
    <row r="140" spans="1:62" x14ac:dyDescent="0.25">
      <c r="A140">
        <v>32</v>
      </c>
      <c r="B140">
        <v>0</v>
      </c>
      <c r="C140">
        <v>1</v>
      </c>
      <c r="D140">
        <v>2</v>
      </c>
      <c r="E140">
        <v>17</v>
      </c>
      <c r="BB140">
        <v>138</v>
      </c>
      <c r="BC140">
        <f t="shared" si="77"/>
        <v>3</v>
      </c>
      <c r="BD140">
        <f t="shared" si="78"/>
        <v>5.4054054054054057E-3</v>
      </c>
      <c r="BE140">
        <f t="shared" si="79"/>
        <v>2.7027027027027026</v>
      </c>
      <c r="BF140">
        <f t="shared" si="80"/>
        <v>100</v>
      </c>
      <c r="BG140">
        <f t="shared" si="81"/>
        <v>1.68625</v>
      </c>
      <c r="BH140">
        <f t="shared" si="82"/>
        <v>3.9928767079530121</v>
      </c>
      <c r="BI140">
        <f t="shared" si="83"/>
        <v>4.0965977755474077</v>
      </c>
      <c r="BJ140">
        <f t="shared" si="84"/>
        <v>0.12101910828025478</v>
      </c>
    </row>
    <row r="141" spans="1:62" x14ac:dyDescent="0.25">
      <c r="A141">
        <v>32</v>
      </c>
      <c r="B141">
        <v>0</v>
      </c>
      <c r="C141">
        <v>1</v>
      </c>
      <c r="D141">
        <v>2</v>
      </c>
      <c r="E141">
        <v>27</v>
      </c>
      <c r="BB141">
        <v>139</v>
      </c>
      <c r="BC141">
        <f t="shared" si="77"/>
        <v>5</v>
      </c>
      <c r="BD141">
        <f t="shared" si="78"/>
        <v>9.0090090090090089E-3</v>
      </c>
      <c r="BE141">
        <f t="shared" si="79"/>
        <v>2.7297297297297298</v>
      </c>
      <c r="BF141">
        <f t="shared" si="80"/>
        <v>101</v>
      </c>
      <c r="BG141">
        <f t="shared" si="81"/>
        <v>1.7031125</v>
      </c>
      <c r="BH141">
        <f t="shared" si="82"/>
        <v>4.0328054750325419</v>
      </c>
      <c r="BI141">
        <f t="shared" si="83"/>
        <v>4.1375637533028824</v>
      </c>
      <c r="BJ141">
        <f t="shared" si="84"/>
        <v>0.11464968152866242</v>
      </c>
    </row>
    <row r="142" spans="1:62" x14ac:dyDescent="0.25">
      <c r="A142">
        <v>32</v>
      </c>
      <c r="B142">
        <v>0</v>
      </c>
      <c r="C142">
        <v>1</v>
      </c>
      <c r="D142">
        <v>2</v>
      </c>
      <c r="E142">
        <v>29</v>
      </c>
      <c r="BB142">
        <v>140</v>
      </c>
      <c r="BC142">
        <f t="shared" si="77"/>
        <v>4</v>
      </c>
      <c r="BD142">
        <f t="shared" si="78"/>
        <v>7.2072072072072073E-3</v>
      </c>
      <c r="BE142">
        <f t="shared" si="79"/>
        <v>2.7567567567567566</v>
      </c>
      <c r="BF142">
        <f t="shared" si="80"/>
        <v>102</v>
      </c>
      <c r="BG142">
        <f t="shared" si="81"/>
        <v>1.7199749999999998</v>
      </c>
      <c r="BH142">
        <f t="shared" si="82"/>
        <v>4.0727342421120722</v>
      </c>
      <c r="BI142">
        <f t="shared" si="83"/>
        <v>4.1785297310583562</v>
      </c>
      <c r="BJ142">
        <f t="shared" si="84"/>
        <v>0.10828025477707007</v>
      </c>
    </row>
    <row r="143" spans="1:62" x14ac:dyDescent="0.25">
      <c r="A143">
        <v>33</v>
      </c>
      <c r="B143">
        <v>0</v>
      </c>
      <c r="C143">
        <v>1</v>
      </c>
      <c r="D143">
        <v>2</v>
      </c>
      <c r="E143">
        <v>18</v>
      </c>
      <c r="BB143">
        <v>141</v>
      </c>
      <c r="BC143">
        <f t="shared" si="77"/>
        <v>2</v>
      </c>
      <c r="BD143">
        <f t="shared" si="78"/>
        <v>3.6036036036036037E-3</v>
      </c>
      <c r="BE143">
        <f t="shared" si="79"/>
        <v>2.7837837837837838</v>
      </c>
      <c r="BF143">
        <f t="shared" si="80"/>
        <v>103</v>
      </c>
      <c r="BG143">
        <f t="shared" si="81"/>
        <v>1.7368375</v>
      </c>
      <c r="BH143">
        <f t="shared" si="82"/>
        <v>4.1126630091916025</v>
      </c>
      <c r="BI143">
        <f t="shared" si="83"/>
        <v>4.2194957088138301</v>
      </c>
      <c r="BJ143">
        <f t="shared" si="84"/>
        <v>0.10191082802547771</v>
      </c>
    </row>
    <row r="144" spans="1:62" x14ac:dyDescent="0.25">
      <c r="A144">
        <v>34</v>
      </c>
      <c r="B144">
        <v>0</v>
      </c>
      <c r="C144">
        <v>1</v>
      </c>
      <c r="D144">
        <v>2</v>
      </c>
      <c r="E144">
        <v>10</v>
      </c>
      <c r="BB144">
        <v>143</v>
      </c>
      <c r="BC144">
        <f t="shared" si="77"/>
        <v>1</v>
      </c>
      <c r="BD144">
        <f t="shared" si="78"/>
        <v>1.8018018018018018E-3</v>
      </c>
      <c r="BE144">
        <f t="shared" si="79"/>
        <v>2.8378378378378377</v>
      </c>
      <c r="BF144">
        <f t="shared" si="80"/>
        <v>105</v>
      </c>
      <c r="BG144">
        <f t="shared" si="81"/>
        <v>1.7705625</v>
      </c>
      <c r="BH144">
        <f t="shared" si="82"/>
        <v>4.1925205433506623</v>
      </c>
      <c r="BI144">
        <f t="shared" si="83"/>
        <v>4.3014276643247786</v>
      </c>
      <c r="BJ144">
        <f t="shared" si="84"/>
        <v>9.5541401273885357E-2</v>
      </c>
    </row>
    <row r="145" spans="1:62" x14ac:dyDescent="0.25">
      <c r="A145">
        <v>34</v>
      </c>
      <c r="B145">
        <v>0</v>
      </c>
      <c r="C145">
        <v>1</v>
      </c>
      <c r="D145">
        <v>2</v>
      </c>
      <c r="E145">
        <v>20</v>
      </c>
      <c r="BB145">
        <v>144</v>
      </c>
      <c r="BC145">
        <f t="shared" si="77"/>
        <v>2</v>
      </c>
      <c r="BD145">
        <f t="shared" si="78"/>
        <v>3.6036036036036037E-3</v>
      </c>
      <c r="BE145">
        <f t="shared" si="79"/>
        <v>2.8648648648648649</v>
      </c>
      <c r="BF145">
        <f t="shared" si="80"/>
        <v>106</v>
      </c>
      <c r="BG145">
        <f t="shared" si="81"/>
        <v>1.787425</v>
      </c>
      <c r="BH145">
        <f t="shared" si="82"/>
        <v>4.2324493104301926</v>
      </c>
      <c r="BI145">
        <f t="shared" si="83"/>
        <v>4.3423936420802525</v>
      </c>
      <c r="BJ145">
        <f t="shared" si="84"/>
        <v>8.9171974522292988E-2</v>
      </c>
    </row>
    <row r="146" spans="1:62" x14ac:dyDescent="0.25">
      <c r="A146">
        <v>34</v>
      </c>
      <c r="B146">
        <v>0</v>
      </c>
      <c r="C146">
        <v>1</v>
      </c>
      <c r="D146">
        <v>2</v>
      </c>
      <c r="E146">
        <v>24</v>
      </c>
      <c r="BB146">
        <v>145</v>
      </c>
      <c r="BC146">
        <f t="shared" si="77"/>
        <v>3</v>
      </c>
      <c r="BD146">
        <f t="shared" si="78"/>
        <v>5.4054054054054057E-3</v>
      </c>
      <c r="BE146">
        <f t="shared" si="79"/>
        <v>2.8918918918918921</v>
      </c>
      <c r="BF146">
        <f t="shared" si="80"/>
        <v>107</v>
      </c>
      <c r="BG146">
        <f t="shared" si="81"/>
        <v>1.8042874999999998</v>
      </c>
      <c r="BH146">
        <f t="shared" si="82"/>
        <v>4.2723780775097229</v>
      </c>
      <c r="BI146">
        <f t="shared" si="83"/>
        <v>4.3833596198357263</v>
      </c>
      <c r="BJ146">
        <f t="shared" si="84"/>
        <v>8.2802547770700632E-2</v>
      </c>
    </row>
    <row r="147" spans="1:62" x14ac:dyDescent="0.25">
      <c r="A147">
        <v>35</v>
      </c>
      <c r="B147">
        <v>0</v>
      </c>
      <c r="C147">
        <v>1</v>
      </c>
      <c r="D147">
        <v>2</v>
      </c>
      <c r="E147">
        <v>17</v>
      </c>
      <c r="BB147">
        <v>146</v>
      </c>
      <c r="BC147">
        <f t="shared" si="77"/>
        <v>3</v>
      </c>
      <c r="BD147">
        <f t="shared" si="78"/>
        <v>5.4054054054054057E-3</v>
      </c>
      <c r="BE147">
        <f t="shared" si="79"/>
        <v>2.9189189189189189</v>
      </c>
      <c r="BF147">
        <f t="shared" si="80"/>
        <v>108</v>
      </c>
      <c r="BG147">
        <f t="shared" si="81"/>
        <v>1.82115</v>
      </c>
      <c r="BH147">
        <f t="shared" si="82"/>
        <v>4.3123068445892532</v>
      </c>
      <c r="BI147">
        <f t="shared" si="83"/>
        <v>4.424325597591201</v>
      </c>
      <c r="BJ147">
        <f t="shared" si="84"/>
        <v>7.6433121019108277E-2</v>
      </c>
    </row>
    <row r="148" spans="1:62" x14ac:dyDescent="0.25">
      <c r="A148">
        <v>35</v>
      </c>
      <c r="B148">
        <v>0</v>
      </c>
      <c r="C148">
        <v>1</v>
      </c>
      <c r="D148">
        <v>2</v>
      </c>
      <c r="E148">
        <v>27</v>
      </c>
      <c r="BB148">
        <v>147</v>
      </c>
      <c r="BC148">
        <f t="shared" si="77"/>
        <v>1</v>
      </c>
      <c r="BD148">
        <f t="shared" si="78"/>
        <v>1.8018018018018018E-3</v>
      </c>
      <c r="BE148">
        <f t="shared" si="79"/>
        <v>2.9459459459459461</v>
      </c>
      <c r="BF148">
        <f t="shared" si="80"/>
        <v>109</v>
      </c>
      <c r="BG148">
        <f t="shared" si="81"/>
        <v>1.8380125</v>
      </c>
      <c r="BH148">
        <f t="shared" si="82"/>
        <v>4.3522356116687835</v>
      </c>
      <c r="BI148">
        <f t="shared" si="83"/>
        <v>4.4652915753466749</v>
      </c>
      <c r="BJ148">
        <f t="shared" si="84"/>
        <v>7.0063694267515922E-2</v>
      </c>
    </row>
    <row r="149" spans="1:62" x14ac:dyDescent="0.25">
      <c r="A149">
        <v>35</v>
      </c>
      <c r="B149">
        <v>0</v>
      </c>
      <c r="C149">
        <v>1</v>
      </c>
      <c r="D149">
        <v>2</v>
      </c>
      <c r="E149">
        <v>27</v>
      </c>
      <c r="BB149">
        <v>148</v>
      </c>
      <c r="BC149">
        <f t="shared" si="77"/>
        <v>1</v>
      </c>
      <c r="BD149">
        <f t="shared" si="78"/>
        <v>1.8018018018018018E-3</v>
      </c>
      <c r="BE149">
        <f t="shared" si="79"/>
        <v>2.9729729729729728</v>
      </c>
      <c r="BF149">
        <f t="shared" si="80"/>
        <v>110</v>
      </c>
      <c r="BG149">
        <f t="shared" si="81"/>
        <v>1.8548749999999998</v>
      </c>
      <c r="BH149">
        <f t="shared" si="82"/>
        <v>4.3921643787483129</v>
      </c>
      <c r="BI149">
        <f t="shared" si="83"/>
        <v>4.5062575531021487</v>
      </c>
      <c r="BJ149">
        <f t="shared" si="84"/>
        <v>6.3694267515923567E-2</v>
      </c>
    </row>
    <row r="150" spans="1:62" x14ac:dyDescent="0.25">
      <c r="A150">
        <v>36</v>
      </c>
      <c r="B150">
        <v>0</v>
      </c>
      <c r="C150">
        <v>1</v>
      </c>
      <c r="D150">
        <v>2</v>
      </c>
      <c r="E150">
        <v>5</v>
      </c>
      <c r="BB150">
        <v>149</v>
      </c>
      <c r="BC150">
        <f t="shared" si="77"/>
        <v>4</v>
      </c>
      <c r="BD150">
        <f t="shared" si="78"/>
        <v>7.2072072072072073E-3</v>
      </c>
      <c r="BE150">
        <f t="shared" si="79"/>
        <v>3</v>
      </c>
      <c r="BF150">
        <f t="shared" si="80"/>
        <v>111</v>
      </c>
      <c r="BG150">
        <f t="shared" si="81"/>
        <v>1.8717375000000001</v>
      </c>
      <c r="BH150">
        <f t="shared" si="82"/>
        <v>4.4320931458278432</v>
      </c>
      <c r="BI150">
        <f t="shared" si="83"/>
        <v>4.5472235308576225</v>
      </c>
      <c r="BJ150">
        <f t="shared" si="84"/>
        <v>5.7324840764331211E-2</v>
      </c>
    </row>
    <row r="151" spans="1:62" x14ac:dyDescent="0.25">
      <c r="A151">
        <v>36</v>
      </c>
      <c r="B151">
        <v>0</v>
      </c>
      <c r="C151">
        <v>1</v>
      </c>
      <c r="D151">
        <v>2</v>
      </c>
      <c r="E151">
        <v>15</v>
      </c>
      <c r="BB151">
        <v>150</v>
      </c>
      <c r="BC151">
        <f t="shared" si="77"/>
        <v>1</v>
      </c>
      <c r="BD151">
        <f t="shared" si="78"/>
        <v>1.8018018018018018E-3</v>
      </c>
      <c r="BE151">
        <f t="shared" si="79"/>
        <v>3.0270270270270272</v>
      </c>
      <c r="BF151">
        <f t="shared" si="80"/>
        <v>112</v>
      </c>
      <c r="BG151">
        <f t="shared" si="81"/>
        <v>1.8885999999999998</v>
      </c>
      <c r="BH151">
        <f t="shared" si="82"/>
        <v>4.4720219129073735</v>
      </c>
      <c r="BI151">
        <f t="shared" si="83"/>
        <v>4.5881895086130973</v>
      </c>
      <c r="BJ151">
        <f t="shared" si="84"/>
        <v>5.0955414012738856E-2</v>
      </c>
    </row>
    <row r="152" spans="1:62" x14ac:dyDescent="0.25">
      <c r="A152">
        <v>37</v>
      </c>
      <c r="B152">
        <v>0</v>
      </c>
      <c r="C152">
        <v>1</v>
      </c>
      <c r="D152">
        <v>2</v>
      </c>
      <c r="E152">
        <v>1</v>
      </c>
      <c r="BB152">
        <v>151</v>
      </c>
      <c r="BC152">
        <f t="shared" si="77"/>
        <v>2</v>
      </c>
      <c r="BD152">
        <f t="shared" si="78"/>
        <v>3.6036036036036037E-3</v>
      </c>
      <c r="BE152">
        <f t="shared" si="79"/>
        <v>3.0540540540540539</v>
      </c>
      <c r="BF152">
        <f t="shared" si="80"/>
        <v>113</v>
      </c>
      <c r="BG152">
        <f t="shared" si="81"/>
        <v>1.9054624999999998</v>
      </c>
      <c r="BH152">
        <f t="shared" si="82"/>
        <v>4.5119506799869038</v>
      </c>
      <c r="BI152">
        <f t="shared" si="83"/>
        <v>4.6291554863685711</v>
      </c>
      <c r="BJ152">
        <f t="shared" si="84"/>
        <v>4.4585987261146494E-2</v>
      </c>
    </row>
    <row r="153" spans="1:62" x14ac:dyDescent="0.25">
      <c r="A153">
        <v>37</v>
      </c>
      <c r="B153">
        <v>0</v>
      </c>
      <c r="C153">
        <v>1</v>
      </c>
      <c r="D153">
        <v>2</v>
      </c>
      <c r="E153">
        <v>5</v>
      </c>
      <c r="BB153">
        <v>152</v>
      </c>
      <c r="BC153">
        <f t="shared" si="77"/>
        <v>2</v>
      </c>
      <c r="BD153">
        <f t="shared" si="78"/>
        <v>3.6036036036036037E-3</v>
      </c>
      <c r="BE153">
        <f t="shared" si="79"/>
        <v>3.0810810810810811</v>
      </c>
      <c r="BF153">
        <f t="shared" si="80"/>
        <v>114</v>
      </c>
      <c r="BG153">
        <f t="shared" si="81"/>
        <v>1.9223250000000001</v>
      </c>
      <c r="BH153">
        <f t="shared" si="82"/>
        <v>4.5518794470664332</v>
      </c>
      <c r="BI153">
        <f t="shared" si="83"/>
        <v>4.6701214641240449</v>
      </c>
      <c r="BJ153">
        <f t="shared" si="84"/>
        <v>3.8216560509554139E-2</v>
      </c>
    </row>
    <row r="154" spans="1:62" x14ac:dyDescent="0.25">
      <c r="A154">
        <v>37</v>
      </c>
      <c r="B154">
        <v>0</v>
      </c>
      <c r="C154">
        <v>1</v>
      </c>
      <c r="D154">
        <v>2</v>
      </c>
      <c r="E154">
        <v>17</v>
      </c>
      <c r="BB154">
        <v>154</v>
      </c>
      <c r="BC154">
        <f t="shared" si="77"/>
        <v>2</v>
      </c>
      <c r="BD154">
        <f t="shared" si="78"/>
        <v>3.6036036036036037E-3</v>
      </c>
      <c r="BE154">
        <f t="shared" si="79"/>
        <v>3.1351351351351351</v>
      </c>
      <c r="BF154">
        <f t="shared" si="80"/>
        <v>116</v>
      </c>
      <c r="BG154">
        <f t="shared" si="81"/>
        <v>1.9560500000000001</v>
      </c>
      <c r="BH154">
        <f t="shared" si="82"/>
        <v>4.6317369812254938</v>
      </c>
      <c r="BI154">
        <f t="shared" si="83"/>
        <v>4.7520534196349935</v>
      </c>
      <c r="BJ154">
        <f t="shared" si="84"/>
        <v>3.1847133757961783E-2</v>
      </c>
    </row>
    <row r="155" spans="1:62" x14ac:dyDescent="0.25">
      <c r="A155">
        <v>37</v>
      </c>
      <c r="B155">
        <v>0</v>
      </c>
      <c r="C155">
        <v>1</v>
      </c>
      <c r="D155">
        <v>2</v>
      </c>
      <c r="E155">
        <v>18</v>
      </c>
      <c r="BB155">
        <v>155</v>
      </c>
      <c r="BC155">
        <f t="shared" si="77"/>
        <v>2</v>
      </c>
      <c r="BD155">
        <f t="shared" si="78"/>
        <v>3.6036036036036037E-3</v>
      </c>
      <c r="BE155">
        <f t="shared" si="79"/>
        <v>3.1621621621621623</v>
      </c>
      <c r="BF155">
        <f t="shared" si="80"/>
        <v>117</v>
      </c>
      <c r="BG155">
        <f t="shared" si="81"/>
        <v>1.9729125000000001</v>
      </c>
      <c r="BH155">
        <f t="shared" si="82"/>
        <v>4.6716657483050241</v>
      </c>
      <c r="BI155">
        <f t="shared" si="83"/>
        <v>4.7930193973904673</v>
      </c>
      <c r="BJ155">
        <f t="shared" si="84"/>
        <v>2.5477707006369428E-2</v>
      </c>
    </row>
    <row r="156" spans="1:62" x14ac:dyDescent="0.25">
      <c r="A156">
        <v>37</v>
      </c>
      <c r="B156">
        <v>0</v>
      </c>
      <c r="C156">
        <v>1</v>
      </c>
      <c r="D156">
        <v>2</v>
      </c>
      <c r="E156">
        <v>21</v>
      </c>
      <c r="BB156">
        <v>156</v>
      </c>
      <c r="BC156">
        <f t="shared" si="77"/>
        <v>2</v>
      </c>
      <c r="BD156">
        <f t="shared" si="78"/>
        <v>3.6036036036036037E-3</v>
      </c>
      <c r="BE156">
        <f t="shared" si="79"/>
        <v>3.189189189189189</v>
      </c>
      <c r="BF156">
        <f t="shared" si="80"/>
        <v>118</v>
      </c>
      <c r="BG156">
        <f t="shared" si="81"/>
        <v>1.9897749999999998</v>
      </c>
      <c r="BH156">
        <f t="shared" si="82"/>
        <v>4.7115945153845544</v>
      </c>
      <c r="BI156">
        <f t="shared" si="83"/>
        <v>4.8339853751459412</v>
      </c>
      <c r="BJ156">
        <f t="shared" si="84"/>
        <v>1.9108280254777069E-2</v>
      </c>
    </row>
    <row r="157" spans="1:62" x14ac:dyDescent="0.25">
      <c r="A157">
        <v>37</v>
      </c>
      <c r="B157">
        <v>0</v>
      </c>
      <c r="C157">
        <v>1</v>
      </c>
      <c r="D157">
        <v>2</v>
      </c>
      <c r="E157">
        <v>37</v>
      </c>
      <c r="BB157">
        <v>165</v>
      </c>
      <c r="BC157">
        <f t="shared" si="77"/>
        <v>1</v>
      </c>
      <c r="BD157">
        <f t="shared" si="78"/>
        <v>1.8018018018018018E-3</v>
      </c>
      <c r="BE157">
        <f t="shared" si="79"/>
        <v>3.4324324324324325</v>
      </c>
      <c r="BF157">
        <f t="shared" si="80"/>
        <v>127</v>
      </c>
      <c r="BG157">
        <f t="shared" si="81"/>
        <v>2.1415375000000001</v>
      </c>
      <c r="BH157">
        <f t="shared" si="82"/>
        <v>5.0709534191003254</v>
      </c>
      <c r="BI157">
        <f t="shared" si="83"/>
        <v>5.2026791749452084</v>
      </c>
      <c r="BJ157">
        <f t="shared" si="84"/>
        <v>1.2738853503184714E-2</v>
      </c>
    </row>
    <row r="158" spans="1:62" x14ac:dyDescent="0.25">
      <c r="A158">
        <v>38</v>
      </c>
      <c r="B158">
        <v>0</v>
      </c>
      <c r="C158">
        <v>1</v>
      </c>
      <c r="D158">
        <v>2</v>
      </c>
      <c r="E158">
        <v>28</v>
      </c>
      <c r="BB158">
        <v>169</v>
      </c>
      <c r="BC158">
        <f t="shared" si="77"/>
        <v>1</v>
      </c>
      <c r="BD158">
        <f t="shared" si="78"/>
        <v>1.8018018018018018E-3</v>
      </c>
      <c r="BE158">
        <f t="shared" si="79"/>
        <v>3.5405405405405403</v>
      </c>
      <c r="BF158">
        <f t="shared" si="80"/>
        <v>131</v>
      </c>
      <c r="BG158">
        <f t="shared" si="81"/>
        <v>2.2089875000000001</v>
      </c>
      <c r="BH158">
        <f t="shared" si="82"/>
        <v>5.2306684874184457</v>
      </c>
      <c r="BI158">
        <f t="shared" si="83"/>
        <v>5.3665430859671046</v>
      </c>
      <c r="BJ158">
        <f t="shared" si="84"/>
        <v>6.369426751592357E-3</v>
      </c>
    </row>
    <row r="159" spans="1:62" x14ac:dyDescent="0.25">
      <c r="A159">
        <v>38</v>
      </c>
      <c r="B159">
        <v>0</v>
      </c>
      <c r="C159">
        <v>1</v>
      </c>
      <c r="D159">
        <v>2</v>
      </c>
      <c r="E159">
        <v>34</v>
      </c>
      <c r="BC159">
        <f>MAX(BC2:BC158)</f>
        <v>555</v>
      </c>
      <c r="BF159">
        <f>MEDIAN(BF2:BF158)</f>
        <v>40</v>
      </c>
    </row>
    <row r="160" spans="1:62" x14ac:dyDescent="0.25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25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25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25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25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25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25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25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25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25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25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25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25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25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25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25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25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25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25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25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25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25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25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25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25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25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25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25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25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25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25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25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25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25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25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25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25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25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25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25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25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25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25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25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25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25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25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25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25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25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25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25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25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25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25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25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25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25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25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25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25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25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25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25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25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25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25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25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25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25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25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25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25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25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25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25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25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25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25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25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25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25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25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25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25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25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25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25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25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25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25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25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25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25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25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25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25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25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25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25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25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25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25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25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25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25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25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25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25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25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25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25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25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25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25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25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25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25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25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25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25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25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25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25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25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25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25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25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25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25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25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25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25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25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25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25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25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25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25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25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25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25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25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25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25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25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25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25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25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25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25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25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25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25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25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25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25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25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25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25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25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25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25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25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25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25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25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25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25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25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25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25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25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25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25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25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25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25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25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25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25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25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25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25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25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25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25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25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25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25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25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25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25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25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25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25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25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25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25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25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25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25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25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25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25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25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25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25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25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25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25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25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25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25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25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25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25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25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25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25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25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25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25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25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25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25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25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25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25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25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25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25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25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25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25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25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25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25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25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25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25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25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25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25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25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25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25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25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25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25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25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25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25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25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25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25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25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25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25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25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25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25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25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25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25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25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25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25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25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25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25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25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25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25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25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25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25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25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25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25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25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25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25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25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25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25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25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25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25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25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25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25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25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25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25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25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25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25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25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25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25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25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25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25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25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25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25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25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25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25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25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25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25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25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25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25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25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25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25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25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25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25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25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25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25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25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25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25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25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25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25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25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25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25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25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25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25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25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25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25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25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25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25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25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25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25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25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25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25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25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25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25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25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25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25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25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25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25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25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25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25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25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25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25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25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25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25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25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25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25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25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25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25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25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25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25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25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25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25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25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25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25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25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25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25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25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25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25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25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25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25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25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25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25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25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25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25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25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25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25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25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25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25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25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25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25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25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25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25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25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25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25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25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25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25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25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25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25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25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25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25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25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25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25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25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25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25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25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25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25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25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25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25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25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25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25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25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25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25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25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25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25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25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25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25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25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25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25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25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25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25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25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25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25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25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25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25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25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25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25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25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25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25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25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25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25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25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25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25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25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25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25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25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25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25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25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25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25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25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25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25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25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25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25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25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25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25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25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25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25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25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25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25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25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25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25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25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25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25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25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25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25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25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25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25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25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25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25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25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25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25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25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25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25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25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25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25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25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25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25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25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25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25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25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25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25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25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25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25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25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25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25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25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25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25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25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25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25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25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25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25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25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25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25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25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25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25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25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25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25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25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25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25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25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25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25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25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25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25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25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25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25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25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25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25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25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25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25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25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25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25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25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25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25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25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25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25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25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25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25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25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25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25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25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25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25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25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25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25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25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25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25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25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25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25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25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25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25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25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25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25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25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25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25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25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25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25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25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25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25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25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25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25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25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25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25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25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25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25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25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25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25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25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25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25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25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25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25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25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25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25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25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25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25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25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25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25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25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25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25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25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25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25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25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25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25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25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25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25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25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25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25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25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25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25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25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25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25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25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25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25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25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25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25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25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25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25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25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25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25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25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25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25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25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25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25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25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25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25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25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25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25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25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25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25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25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25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25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25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25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25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25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25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25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25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25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25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25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25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25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25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25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25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25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25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25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25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25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25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25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25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25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25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25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25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25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25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25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25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25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25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25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25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25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25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25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25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25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25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25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25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25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25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25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25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25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25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25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25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25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25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25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25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25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25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25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25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25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25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25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25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25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25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25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25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25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25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25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25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25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25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25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25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25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25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25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25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25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25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25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25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25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25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25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25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25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25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25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25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25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25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25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25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25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25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25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25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25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25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25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25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25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25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25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25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25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25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25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25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25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25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25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25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25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25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25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25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25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25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25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25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25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25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25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25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25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25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25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25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25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25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25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25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25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25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25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25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25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25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25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25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25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25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25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25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25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25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25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25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25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25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25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25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25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25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25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25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25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25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25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25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25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25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25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25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25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25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25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25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25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25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25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25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25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25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25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25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25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25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25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25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25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25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25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25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25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25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25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25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25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25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25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25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25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25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25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25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25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25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25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25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25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25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25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25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25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25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25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25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25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25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25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25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25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25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25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25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25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25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25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25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25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25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25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25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25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25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25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25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25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25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25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25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25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25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25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25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25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25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25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25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25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25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25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25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25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25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25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25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25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25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25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25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25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25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25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25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25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25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25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25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25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25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25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25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25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25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25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25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25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25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25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25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25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25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25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25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25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25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25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25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25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25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25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25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25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25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25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25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25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25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25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25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25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25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25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25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25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25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25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25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25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25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25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25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25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25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25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25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25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25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25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25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25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25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25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25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25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25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25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25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25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25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25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25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25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25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25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25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25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25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25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25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25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25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25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25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25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25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25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25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25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25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25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25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25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25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25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25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25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25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25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25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25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25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25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25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25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25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25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25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25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25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25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25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25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25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25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25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25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25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25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25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25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25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25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25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25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25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25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25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25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25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25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25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25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25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25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25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25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25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25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25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25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25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25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25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25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25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25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25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25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25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25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25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25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25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25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25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25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25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25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25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25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25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25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25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25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25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25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25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25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25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25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25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25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25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25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25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25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25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25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25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25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25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25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25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25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25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25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25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25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25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25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25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25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25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25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25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25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25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25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25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25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25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25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25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25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25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25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25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25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25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25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25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25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25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25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25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25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25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25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25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25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25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25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25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25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25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25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25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25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25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25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25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25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25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25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25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25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25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25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25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25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25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25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25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25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25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25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25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25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25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25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25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25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25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25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25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25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25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25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25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25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25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25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25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25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25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25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25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25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25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25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25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25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25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25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25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25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25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25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25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25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25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25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25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25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25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25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25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25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25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25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25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25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25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25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25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25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25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25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25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25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25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25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25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25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25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25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25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25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25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25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25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25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25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25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25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25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25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25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25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25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25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25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25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25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25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25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25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25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25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25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25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25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25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25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25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25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25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25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25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25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25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25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25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25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25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25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25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25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25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25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25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25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25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25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25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25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25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25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25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25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25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25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25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25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25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25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25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25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25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25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25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25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25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25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25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25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25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25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25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25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25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25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25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25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25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25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25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25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25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25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25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25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25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25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25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25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25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25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25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25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25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25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25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25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25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25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25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25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25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25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25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25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25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25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25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25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25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25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25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25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25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25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25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25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25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25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25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25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25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25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25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25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25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25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25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25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25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25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25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25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25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25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25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25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25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25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25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25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25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25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25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25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25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25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25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25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25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25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25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25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25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25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25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25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25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25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25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25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25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25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25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25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25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25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25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25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25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25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25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25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25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25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25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25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25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25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25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25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25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25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25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25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25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25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25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25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25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25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25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25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25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25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25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25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25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25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25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25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25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25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25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25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25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25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25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25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25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25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25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25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25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25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25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25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25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25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25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25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25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25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25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25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25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25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25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25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25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25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25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25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25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25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25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25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25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25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25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25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25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25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25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25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25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25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25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25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25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25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25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25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25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25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25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25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25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25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25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25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25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25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25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25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25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25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25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25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25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25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25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25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25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25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25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25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25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25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25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25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25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25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25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25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25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25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25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25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25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25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25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25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25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25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25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25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25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25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25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25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25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25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25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25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25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25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25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25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25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25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25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25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25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25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25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25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25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25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25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25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25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25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25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25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25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25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25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25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25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25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25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25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25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25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25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25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25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25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25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25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25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25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25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25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25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25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25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25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25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25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25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25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25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25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25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25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25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25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25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25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25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25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25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25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25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25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25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25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25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25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25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25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25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25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25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25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25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25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25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25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25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25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25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25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25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25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25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25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25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25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25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25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25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25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25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25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25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25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25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25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25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25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25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25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25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25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25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25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25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25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25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25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25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25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25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25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25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25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25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25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25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25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25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25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25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25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25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25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25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25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25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25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25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25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25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25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25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25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25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25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25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25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25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25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25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25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25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25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25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25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25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25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25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25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25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25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25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25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25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25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25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25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25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25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25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25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25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25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25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25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25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25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25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25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25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25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25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25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25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25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25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25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25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25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25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25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25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25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25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25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25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25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25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25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25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25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25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25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25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25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25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25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25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25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25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25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25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25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25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25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25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25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25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25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25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25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25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25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25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25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25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25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25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25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25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25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25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25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25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25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25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25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25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25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25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25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25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25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25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25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25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25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25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25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25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25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25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25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25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25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25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25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25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25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25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25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25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25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25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25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25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25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25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25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25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25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25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25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25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25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25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25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25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25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25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25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25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25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25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25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25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25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25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25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25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25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25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25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25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25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25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25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25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25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25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25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25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25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25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25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25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25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25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25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25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25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25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25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25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25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25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25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25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25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25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25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25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25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25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25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25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25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25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25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25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25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25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25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25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25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25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25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25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25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25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25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25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25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25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25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25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25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25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25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25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25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25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25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25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25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25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25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25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25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25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25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25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25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25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25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25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25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25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25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25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25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25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25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25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25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25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25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25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25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25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25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25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25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25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25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25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25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25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25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25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25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25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25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25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25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25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25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25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25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25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25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25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25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25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25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25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25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25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25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25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25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25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25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25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25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25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25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25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25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25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25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25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25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25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25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25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25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25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25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25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25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25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25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25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25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25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25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25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25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25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25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25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25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25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25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25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25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25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25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25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25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25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25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25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25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25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25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25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25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25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25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25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25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25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25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25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25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25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25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25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25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25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25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25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25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25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25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25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25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25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25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25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25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25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25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25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25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25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25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25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25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25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25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25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25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25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25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25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25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25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25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25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25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25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25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25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25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25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25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25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25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25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25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25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25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25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25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25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25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25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25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25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25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25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25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25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25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25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25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25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25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25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25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25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25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25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25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25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25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25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25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25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25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25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25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25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25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25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25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25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25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25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25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25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25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25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25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25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25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25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25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25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25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25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25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25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25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25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25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25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25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25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25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25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25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25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25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25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25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25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25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25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25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25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25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25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25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25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25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25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25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25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25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25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25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25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25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25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25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25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25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25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25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25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25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25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25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25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25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25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25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25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25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25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25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25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25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25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25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25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25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25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25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25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25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25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25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25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25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25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25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25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25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25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25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25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25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25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25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25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25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25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25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25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25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25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25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25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25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25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25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25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25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25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25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25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25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25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25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25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25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25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25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25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25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25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25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25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25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25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25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25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25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25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25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25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25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25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25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25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25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25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25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25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25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25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25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25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25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25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25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25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25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25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25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25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25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25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25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25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25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25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25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25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25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25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25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25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25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25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25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25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25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25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25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25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25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25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25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25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25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25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25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25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25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25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25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25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25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25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25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25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25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25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25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25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25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25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25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25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25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25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25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25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25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25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25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25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25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25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25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25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25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25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25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25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25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25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25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25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25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25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25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25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25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25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25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25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25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25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25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25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25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25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25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25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25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25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25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25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25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25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25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25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25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25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25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25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25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25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25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25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25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25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25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25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25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25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25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25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25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25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25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25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25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25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25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25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25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25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25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25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25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25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25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25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25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25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25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25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25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25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25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25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25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25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25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25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25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25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25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25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25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25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25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25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25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25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25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25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25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25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25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25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25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25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25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25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25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25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25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25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25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25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25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25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25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25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25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25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25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25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25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25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25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25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25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25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25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25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25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25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25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25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25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25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25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25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25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25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25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25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25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25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25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25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25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25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25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25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25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25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25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25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25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25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25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25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25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25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25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25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25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25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25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25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25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25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25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25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25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25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25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25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25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25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25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25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25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25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25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25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25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25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25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25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25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25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25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25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25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25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25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25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25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25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25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25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25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25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25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25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25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25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25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25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25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25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25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25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25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25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25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25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25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25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25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25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25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25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25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25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25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25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25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25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25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25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25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25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25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25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25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25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25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25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25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25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25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25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25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25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25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25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25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25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25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25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25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25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25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25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25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25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25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25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25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25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25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25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25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25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25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25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25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25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25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25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25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25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25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25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25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25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25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25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25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25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25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25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25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25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25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25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25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25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25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25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25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25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25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25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25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25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25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25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25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25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25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25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25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25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25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25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25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25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25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25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25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25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25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25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25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25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25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25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25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25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25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25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25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25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25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25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25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25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25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25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25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25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25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25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25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25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25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25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25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25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25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25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25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25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25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25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25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25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25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25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25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25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25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25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25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25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25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25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25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25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25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25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25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25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25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25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25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25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25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25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25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25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25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25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25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25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25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25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25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25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25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25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25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25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25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25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25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25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25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25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25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25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25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25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25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25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25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25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25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25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25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25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25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25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25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25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25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25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25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25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25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25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25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25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25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25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25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25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25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25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25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25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25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25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25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25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25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25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25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25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25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25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25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25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25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25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25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25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25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25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25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25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25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25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25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25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25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25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25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25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25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25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25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25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25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25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25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25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25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25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25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25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25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25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25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25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25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25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25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25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25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25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25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25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25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25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25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25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25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25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25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25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25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25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25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25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25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25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25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25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25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25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25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25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25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25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25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25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25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25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25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25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25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25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25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25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25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25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25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25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25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25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25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25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25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25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25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25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25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25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25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25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25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25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25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25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25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25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25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25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25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25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25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25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25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25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25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25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25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25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25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25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25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25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25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25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25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25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25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25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25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25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25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25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25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25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25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25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25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25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25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25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25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25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25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25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25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25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25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25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25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25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25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25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25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25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25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25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25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25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25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25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25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25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25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25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25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25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25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25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25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25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25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25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25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25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25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25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25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25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25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25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25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25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25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25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25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25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25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25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25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25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25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25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25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25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25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25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25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25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25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25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25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25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25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25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25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25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25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25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25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25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25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25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25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25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25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25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25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25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25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25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25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25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25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25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25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25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25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25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25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25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25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25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25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25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25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25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25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25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25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25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25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25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25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25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25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25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25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25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25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25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25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25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25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25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25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25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25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25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25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25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25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25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25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25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25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25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25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25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25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25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25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25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25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25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25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25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25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25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25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25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25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25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25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25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25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25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25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25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25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25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25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25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25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25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25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25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25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25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25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25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25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25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25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25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25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25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25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25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25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25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25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25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25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25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25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25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25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25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25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25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25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25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25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25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25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25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25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25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25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25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25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25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25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25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25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25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25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25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25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25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25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25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25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25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25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25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25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25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25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25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25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25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25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25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25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25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25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25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25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25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25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25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25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25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25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25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25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25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25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25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25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25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25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25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25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25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25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25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25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25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25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25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25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25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25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25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25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25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25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25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25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25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25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25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25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25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25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25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25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25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25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25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25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25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25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25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25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25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25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25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25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25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25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25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25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25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25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25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25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25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25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25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25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25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25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25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25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25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25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25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25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25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25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25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25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25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25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25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25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25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25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25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25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25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25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25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25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25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25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25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25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25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25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25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25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25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25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25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25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25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25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25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25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25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25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25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25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25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25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25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25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25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25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25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25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25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25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25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25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25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25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25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25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25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25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25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25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25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25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25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25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25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25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25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25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25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25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25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25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25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25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25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25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25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25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25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25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25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25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25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25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25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25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25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25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25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25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25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25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25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25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25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25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25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25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25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25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25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25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25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25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25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25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25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25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25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25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25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25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25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25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25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25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25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25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25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25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25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25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25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25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25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25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25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25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25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25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25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25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25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25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25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25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25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25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25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25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25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25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25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25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25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25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25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25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25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25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25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25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25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25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25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25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25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25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25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25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25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25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25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25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25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25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25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25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25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25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25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25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25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25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25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25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25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25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25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25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25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25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25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25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25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25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25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25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25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25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25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25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25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25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25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25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25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25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25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25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25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25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25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25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25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25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25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25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25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25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25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25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25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25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25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25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25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25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25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25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25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25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25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25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25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25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25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25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25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25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25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25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25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25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25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25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25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25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25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25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25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25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25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25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25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25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25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25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25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25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25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25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25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25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25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25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25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25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25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25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25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25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25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25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25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25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25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25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25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25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25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25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25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25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25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25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25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25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25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25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25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25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25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25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25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25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25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25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25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25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25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25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25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25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25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25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25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25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25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25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25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25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25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25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25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25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25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25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25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25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25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25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25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25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25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25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25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25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25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25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25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25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25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25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25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25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25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25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25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25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25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25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25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25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25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25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25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25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25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25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25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25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25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25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25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25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25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25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25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25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25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25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25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25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25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25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25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25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25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25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25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25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25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25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25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25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25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25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25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25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25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25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25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25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25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25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25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25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25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25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25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25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25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25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25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25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25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25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25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25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25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25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25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25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25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25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25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25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25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25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25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25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25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25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25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25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25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25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25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25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25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25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25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25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25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25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25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25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25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25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25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25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25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25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25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25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25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25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25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25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25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25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25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25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25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25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25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25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25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25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25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25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25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25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25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25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25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25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25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25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25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25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25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25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25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25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25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25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25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25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25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25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25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25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25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25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25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25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25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25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25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25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25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25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25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25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25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25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25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25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25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25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25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25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25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25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25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25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25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25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25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25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25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25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25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25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25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25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25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25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25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25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25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25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25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25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25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25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25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25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25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25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25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25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25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25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25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25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25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25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25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25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25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25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25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25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25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25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25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25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25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25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25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25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25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25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25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25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25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25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25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25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25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25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25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25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25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25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25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25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25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25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25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25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25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25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25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25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25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25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25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25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25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25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25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25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25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25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25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25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25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25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25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25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25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25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25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25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25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25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25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25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25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25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25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25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25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25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25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25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25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25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25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25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25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25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25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25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25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25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25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25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25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25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25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25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25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25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25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25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25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25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25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25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25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25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25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25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25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25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25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25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25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25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25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25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25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25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25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25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25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25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25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25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25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25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25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25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25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25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25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25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25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25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25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25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25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25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25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25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25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25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25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25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25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25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25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25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25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25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25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25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25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25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25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25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25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25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25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25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25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25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25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25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25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25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25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25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25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25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25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25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25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25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25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25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25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25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25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25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25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25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25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25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25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25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25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25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25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25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25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25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25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25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25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25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25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25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25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25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25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25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25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25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25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25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25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25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25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25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25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25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25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25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25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25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25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25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25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25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25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25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25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25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25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25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25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25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25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25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25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25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25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25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25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25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25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25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25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25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25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25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25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25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25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25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25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25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25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25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25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25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25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25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25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25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25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25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25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25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25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25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25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25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25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25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25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25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25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25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25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25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25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25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25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25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25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25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25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25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25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25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25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25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25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25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25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25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25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25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25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25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25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25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25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25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25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25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25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25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25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25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25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25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25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25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25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25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25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25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25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25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25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25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25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25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25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25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25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25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25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25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25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25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25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25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25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25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25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25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25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25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25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25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25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25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25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25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25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25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25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25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25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25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25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25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25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25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25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25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25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25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25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25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25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25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25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25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25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25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25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25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25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25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25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25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25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25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25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25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25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25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25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25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25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25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25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25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25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25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25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25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25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25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25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25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25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25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25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25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25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25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25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25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25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25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25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25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25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25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25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25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25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25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25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25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25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25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25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25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25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25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25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25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25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25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25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25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25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25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25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25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25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25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25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25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25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25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25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25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25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25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25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25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25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25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25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25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25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25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25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25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25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25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25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25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25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25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25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25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25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25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25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25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25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25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25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25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25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25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25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25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25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25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25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25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25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25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25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25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25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25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25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25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25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25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25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25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25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25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25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25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25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25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25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25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25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25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25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25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25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25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25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25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25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25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25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25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25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25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25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25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25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25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25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25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25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25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25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25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25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25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25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25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25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25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25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25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25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25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25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25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25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25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25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25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25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25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25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25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25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25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25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25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25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25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25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25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25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25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25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25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25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25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25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25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25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25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25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25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25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25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25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25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25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25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25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25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25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25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25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25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25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25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25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25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25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25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25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25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25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25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25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25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25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25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25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25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25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25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25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25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25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25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25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25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25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25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25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25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25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25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25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25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25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25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25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25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25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25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25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25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25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25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25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25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25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25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25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25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25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25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25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25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25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25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25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25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25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25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25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25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25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25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25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25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25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25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25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25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25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25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25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25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25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25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25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25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25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25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25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25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25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25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25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25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25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25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25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25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25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25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25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25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25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25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25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25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25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25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25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25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25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25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25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25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25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25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25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25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25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25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25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25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25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25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25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25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25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25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25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25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25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25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25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25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25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25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25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25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25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25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25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25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25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25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25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25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25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25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25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25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25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25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25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25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25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25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25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25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25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25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25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25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25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25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25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25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25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25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25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25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25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25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25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25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25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25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25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25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25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25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25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25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25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25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25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25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25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25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25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25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25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25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25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25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25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25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25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25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25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25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25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25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25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25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25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25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25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25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25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25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25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25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25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25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25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25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25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25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25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25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25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25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25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25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25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25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25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25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25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25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25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25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25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25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25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25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25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25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25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25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25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25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25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25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25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25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25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25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25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25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25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25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25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25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25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25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25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25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25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25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25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25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25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25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25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25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25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25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25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25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25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25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25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25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25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25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25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25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25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25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25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25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25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25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25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25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25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25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25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25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25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25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25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25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25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25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25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25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25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25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25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25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25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25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25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25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25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25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25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25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25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25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25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25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25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25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25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25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25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25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25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25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25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25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25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25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25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25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25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25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25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25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25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25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25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25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25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25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25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25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25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25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25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25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25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25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25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25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25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25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25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25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25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25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25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25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25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25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25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25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25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25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25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25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25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25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25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25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25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25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25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25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25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25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25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25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25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25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25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25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25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25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25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25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25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25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25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25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25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25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25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25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25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25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25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25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25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25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25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25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25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25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25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25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25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25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25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25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25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25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25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25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25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25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25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25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25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25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25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25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25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25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25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25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25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25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25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25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25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25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25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25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25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25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25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25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25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25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25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25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25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25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25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25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25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25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25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25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25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25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25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25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25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25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25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25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25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25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25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25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25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25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25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25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25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25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25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25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25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25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25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25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25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25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25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25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25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25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25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25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25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25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25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25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25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25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25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25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25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25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25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25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25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25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25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25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25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25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25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25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25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25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25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25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25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25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25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25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25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25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25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25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25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25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25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25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25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25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25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25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25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25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25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25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25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25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25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25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25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25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25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25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25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25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25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25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25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25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25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25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25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25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25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25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25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25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25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25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25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25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25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25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25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25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25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25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25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25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25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25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25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25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25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25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25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25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25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25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25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25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25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25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25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25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25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25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25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25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25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25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25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25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25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25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25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25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25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25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25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25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25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25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25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25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25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25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25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25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25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25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25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25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25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25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25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25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25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25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25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25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25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25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25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25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25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25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25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25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25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25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25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25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25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25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25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25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25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25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25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25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25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25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25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25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25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25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25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25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25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25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25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25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25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25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25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25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25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25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25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25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25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25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25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25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25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25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25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25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25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25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25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25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25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25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25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25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25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25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25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25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25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25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25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25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25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25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25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25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25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25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25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25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25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25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25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25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25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25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25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25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25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25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25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25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25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25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25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25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25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25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25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25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25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25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25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25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25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25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25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25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25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25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25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25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25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25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25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25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25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25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25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25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25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25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25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25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25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25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25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25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25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25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25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25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25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25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25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25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25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25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25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25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25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25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25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25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25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25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25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25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25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25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25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25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25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25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25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25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25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25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25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25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25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25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25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25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25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25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25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25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25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25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25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25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25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25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25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25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25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25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25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25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25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25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25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25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25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25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25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25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25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25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25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25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25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25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25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25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25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25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25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25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25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25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25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25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25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25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25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25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25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25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25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25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25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25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25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25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25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25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25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25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25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25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25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25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25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25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25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25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25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25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25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25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25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25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25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25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25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25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25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25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25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25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25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25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25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25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25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25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25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25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25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25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25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25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25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25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25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25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25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25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25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25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25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25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25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25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25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25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25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25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25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25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25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25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25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25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25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25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25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25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25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25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25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25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25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25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25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25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25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25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25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25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25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25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25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25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25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25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25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25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25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25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25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25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25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25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25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25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25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25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25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25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25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25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25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25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25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25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25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25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25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25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25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25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25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25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25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25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25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25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25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25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25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25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25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25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25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25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25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25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25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25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25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25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25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25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25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25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25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25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25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25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25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25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25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25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25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25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25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25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25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25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25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25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25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25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25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25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25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25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25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25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25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25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25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25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25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25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25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25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25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25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25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25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25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25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25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25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25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25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25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25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25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25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25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25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25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25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25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25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25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25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25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25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25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25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25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25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25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25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25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25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25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25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25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25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25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25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25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25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25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25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25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25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25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25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25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25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25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25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25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25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25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25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25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25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25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25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25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25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25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25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25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25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25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25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25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25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25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25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25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25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25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25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25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25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25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25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25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25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25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25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25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25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25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25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25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25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25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25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25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25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25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25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25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25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25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25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25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25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25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25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25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25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25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25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25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25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25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25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25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25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25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25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25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25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25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25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25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25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25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25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25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25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25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25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25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25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25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25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25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25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25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25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25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25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25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25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25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25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25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25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25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25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25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25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25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25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25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25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25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25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25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25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25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25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25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25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25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25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25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25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25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25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25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25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25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25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25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25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25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25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25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25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25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25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25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25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25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25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25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25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25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25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25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25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25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25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25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25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25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25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25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25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25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25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25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25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25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25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25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25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25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25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25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25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25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25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25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25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25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25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25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25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25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25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25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25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25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25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25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25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25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25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25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25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25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25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25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25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25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25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25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25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25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25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25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25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25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25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25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25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25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25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25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25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25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25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25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25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25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25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25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25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25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25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25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25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25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25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25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25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25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25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25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25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25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25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25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25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25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25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25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25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25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25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25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25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25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25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25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25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25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25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25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25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25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25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25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25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25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25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25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25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25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25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25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25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25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25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25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25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25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25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25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25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25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25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25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25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25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25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25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25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25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25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25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25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25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25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25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25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25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25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25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25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25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25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25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25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25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25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25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25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25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25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25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25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25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25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25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25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25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25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25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25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25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25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25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25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25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25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25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25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25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25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25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25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25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25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25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25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25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25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25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25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25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25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25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25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25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25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25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25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25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25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25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25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25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25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25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25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25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25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25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25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25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25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25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25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25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25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25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25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25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25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25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25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25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25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25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25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25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25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25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25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25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25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25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25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25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25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25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25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25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25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25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25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25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25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25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25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25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25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25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25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25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25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25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25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25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25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25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25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25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25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25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25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25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25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25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25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25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25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25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25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25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25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25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25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25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25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25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25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25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25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25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25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25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25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25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25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25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25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25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25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25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25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25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25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25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25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25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25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25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25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25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25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25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25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25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25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25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25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25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25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25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25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25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25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25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25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25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25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25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25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25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25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25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25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25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25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25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25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25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25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25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25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25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25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25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25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25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25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25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25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25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25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25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25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25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25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25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25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25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25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25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25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25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25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25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25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25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25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25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25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25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25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25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25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25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25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25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25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25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25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25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25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25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25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25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25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25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25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25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25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25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25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25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25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25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25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25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25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25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25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25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25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25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25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25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25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25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25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25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25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25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25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25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25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25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25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25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25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25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25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25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25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25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25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25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25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25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25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25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25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25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25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25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25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25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25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25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25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25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25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25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25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25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25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25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25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25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25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25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25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25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25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25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25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25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25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25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25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25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25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25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25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25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25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25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25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25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25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25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25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25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25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25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25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25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25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25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25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25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25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25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25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25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25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25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25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25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25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25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25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25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25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25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25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25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25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25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25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25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25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25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25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25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25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25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25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25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25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25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25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25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25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25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25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25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25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25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25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25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25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25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25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25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25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25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25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25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25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25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25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25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25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25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25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25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25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25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25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25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25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25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25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25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25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25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25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25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25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25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25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25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25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25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25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25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25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25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25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25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25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25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25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25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25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25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25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25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25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25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25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25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25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25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25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25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25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25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25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25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25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25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25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25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25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25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25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25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25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25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25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25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25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25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25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25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25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25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25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25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25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25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25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25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25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25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25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25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25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25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25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25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25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25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25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25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25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25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25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25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25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25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25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25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25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25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25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25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25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25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25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25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25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25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25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25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25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25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25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25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25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25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25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25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25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25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25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25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25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25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25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25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25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25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25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25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25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25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25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25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25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25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25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25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25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25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25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25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25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25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25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25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25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25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25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25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25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25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25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25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25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25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25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25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25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25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25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25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25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25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25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25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25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25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25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25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25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25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25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25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25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25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25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25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25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25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25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25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25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25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25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25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25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25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25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25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25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25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25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25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25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25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25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25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25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25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25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25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25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25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25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25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25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25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25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25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25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25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25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25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25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25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25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25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25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25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25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25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25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25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25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25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25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25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25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25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25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25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25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25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25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25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25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25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25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25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25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25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25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25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25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25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25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25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25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25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25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25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25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25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25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25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25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25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25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25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25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25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25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25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25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25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25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25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25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25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25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25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25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25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25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25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25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25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25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25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25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25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25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25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25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25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25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25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25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25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25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25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25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25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25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25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25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25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25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25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25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25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25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25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25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25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25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25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25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25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25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25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25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25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25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25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25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25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25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25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25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25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25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25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25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25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25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25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25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25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25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25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25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25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25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25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25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25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25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25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25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25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25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25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25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25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25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25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25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25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25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25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25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25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25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25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25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25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25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25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25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25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25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25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25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25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25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25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25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25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25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25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25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25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25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25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25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25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25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25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25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25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25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25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25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25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25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25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25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25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25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25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25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25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25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25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25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25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25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25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25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25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25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25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25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25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25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25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25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25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25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25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25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25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25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25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25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25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25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25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25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25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25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25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25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25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25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25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25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25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25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25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25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25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25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25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25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25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25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25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25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25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25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25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25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25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25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25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25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25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25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25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25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25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25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25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25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25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25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25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25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25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25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25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25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25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25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25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25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25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25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25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25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25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25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25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25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25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25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25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25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25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25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25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25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25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25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25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25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25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25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25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25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25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25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25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25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25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25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25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25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25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25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25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25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25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25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25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25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25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25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25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25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25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25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25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25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25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25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25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25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25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25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25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25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25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25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25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25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25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25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25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25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25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25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25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25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25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25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25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25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25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25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25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25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25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25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25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25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25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25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25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25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25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25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25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25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25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25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25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25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25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25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25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25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25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25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25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25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25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25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25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25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25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25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25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25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25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25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25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25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25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25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25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25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25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25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25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25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25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25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25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25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25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25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25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25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25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25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25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25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25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25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25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25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25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25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25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25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25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25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25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25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25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25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25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25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25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25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25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25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25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25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25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25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25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25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25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25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25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25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25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25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25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25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25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25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25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25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25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25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25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25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25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25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25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25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25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25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25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25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25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25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25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25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25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25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25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25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25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25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25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25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25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25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25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25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25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25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25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25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25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25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25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25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25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25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25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25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25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25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25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25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25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25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25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25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25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25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25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25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25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25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25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25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25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25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25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25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25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25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25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25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25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25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25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25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25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25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25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25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25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25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25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25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25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25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25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25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25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25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25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25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25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25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25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25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25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25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25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25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25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25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25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25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25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25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25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25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25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25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25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25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25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25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25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25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25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25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25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25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25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25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25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25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25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25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25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25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25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25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25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25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25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25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25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25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25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25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25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25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25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25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25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25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25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25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25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25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25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25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25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25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25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25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25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25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25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25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25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25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25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25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25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25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25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25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25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25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25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25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25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25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25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25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25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25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25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25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25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25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25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25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25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25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25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25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25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25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25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25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25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25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25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25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25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25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25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25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25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25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25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25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25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25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25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25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25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25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25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25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25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25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25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25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25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25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25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25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25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25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25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25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25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25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25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25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25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25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25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25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25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25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25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25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25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25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25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25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25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25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25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25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25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25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25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25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25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25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25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25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25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25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25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25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25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25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25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25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25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25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25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25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25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25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25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25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25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25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25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25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25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25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25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25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25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25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25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25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25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25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25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25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25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25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25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25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25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25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25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25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25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25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25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25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25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25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25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25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25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25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25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25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25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25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25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25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25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25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25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25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25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25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25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25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25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25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25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25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25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25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25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25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25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25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25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25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25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25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25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25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25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25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25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25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25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25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25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25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25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25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25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25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25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25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25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25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25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25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25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25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25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25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25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25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25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25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25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25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25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25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25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25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25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25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25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25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25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25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25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25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25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25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25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25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25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25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25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25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25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25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25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25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25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25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25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25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25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25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25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25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25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25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25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25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25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25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25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25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25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25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25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25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25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25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25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25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25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25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25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25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25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25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25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25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25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25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25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25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25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25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25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25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25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25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25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25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25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25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25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25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25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25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25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25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25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25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25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25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25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25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25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25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25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25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25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25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25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25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25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25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25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25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25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25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25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25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25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25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25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25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25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25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25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25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25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25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25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25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25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25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25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25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25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25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25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25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25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25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25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25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25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25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25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25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25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25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25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25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25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25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25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25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25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25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25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25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25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25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25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25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25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25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25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25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25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25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25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25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25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25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25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25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25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25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25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25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25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25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25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25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25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25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25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25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25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25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25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25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25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25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25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25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25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25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25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25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25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25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25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25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25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25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25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25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25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25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25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25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25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25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25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25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25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25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25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25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25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25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25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25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25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25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25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25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25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25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25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25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25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25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25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25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25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25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25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25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25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25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25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25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25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25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25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25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25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25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25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25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25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25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25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25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25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25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25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25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25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25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25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25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25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25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25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25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25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25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25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25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25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25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25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25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25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25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25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25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25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25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25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25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25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25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25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25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25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25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25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25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25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25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25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25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25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25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25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25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25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25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25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25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25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25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25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25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25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25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25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25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25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25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25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25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25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25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25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25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25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25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25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25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25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25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25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25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25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25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25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25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25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25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25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25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25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25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25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25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25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25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25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25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25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25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25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25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25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25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25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25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25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25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25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25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25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25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25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25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25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25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25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25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25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25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25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25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25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25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25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25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25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25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25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25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25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25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25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25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25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25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25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25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25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25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25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25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25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25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25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25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25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25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25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25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25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25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25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25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25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25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25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25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25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25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25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25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25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25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25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25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25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25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25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25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25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25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25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25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25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25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25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25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25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25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25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25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25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25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25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25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25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25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25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25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25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25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25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25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25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25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25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25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25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25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25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25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25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25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25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25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25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25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25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25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25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25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25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25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25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25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25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25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25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25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25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25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25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25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25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25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25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25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25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25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25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25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25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25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25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25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25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25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25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25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25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25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25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25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25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25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25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25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25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25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25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25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25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25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25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25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25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25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25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25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25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25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25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25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25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25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25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25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25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25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25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25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25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25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25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25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25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25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25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25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25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25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25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25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25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25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25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25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25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25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25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25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25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25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25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25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25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25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25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25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25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25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25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25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25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25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25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25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25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25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25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25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25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25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25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25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25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25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25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25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25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25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25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25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25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25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25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25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25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25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25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25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25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25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25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25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25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25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25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25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25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25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25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25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25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25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25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25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25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25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25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25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25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25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25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25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25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25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25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25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25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25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25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25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25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25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25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25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25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25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25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25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25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25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25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25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25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25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25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25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25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25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25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25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25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25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25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25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25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25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25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25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25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25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25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25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25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25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25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25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25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25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25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25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25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25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25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25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25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25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25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25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25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25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25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25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25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25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25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25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25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25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25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25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25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25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25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25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25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25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25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25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25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25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25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25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25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25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25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25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25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25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25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25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25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25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25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25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25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25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25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25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25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25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25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25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25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25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25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25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25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25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25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25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25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25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25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25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25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25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25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25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25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25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25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25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25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25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25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25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25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25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25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25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25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25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25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25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25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25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25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25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25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25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25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25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25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25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25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25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25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25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25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25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25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25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25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25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25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25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25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25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25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25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25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25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25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25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25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25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25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25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25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25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25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25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25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25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25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25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25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25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25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25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25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25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25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25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25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25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25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25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25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25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25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25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25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25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25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25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25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25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25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25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25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25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25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25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25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25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25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25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25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25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25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25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25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25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25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25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25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25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25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25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25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25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25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25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25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25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25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25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25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25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25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25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25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25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25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25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25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25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25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25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25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25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25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25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25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25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25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25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25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25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25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25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25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25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25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25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25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25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25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25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25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25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25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25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25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25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25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25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25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25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25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25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25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25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25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25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25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25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25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25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25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25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25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25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25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25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25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25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25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25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25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25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25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25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25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25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25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25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25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25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25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25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25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25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25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25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25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25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25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25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25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25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25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25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25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25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25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25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25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25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25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25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25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25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25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25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25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25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25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25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25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25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25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25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25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25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25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25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25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25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25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25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25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25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25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25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25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25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25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25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25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25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25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25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25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25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25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25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25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25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25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25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25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25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25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25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25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25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25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25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25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25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25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25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25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25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25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25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25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25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25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25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25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25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25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25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25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25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25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25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25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25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25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25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25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25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25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25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25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25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25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25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25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25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25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25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25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25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25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25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25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25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25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25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25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25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25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25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25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25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25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25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25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25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25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25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25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25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25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25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25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25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25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25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25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25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25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25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25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25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25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25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25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25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25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25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25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25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25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25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25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25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25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25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25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25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25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25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25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25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25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25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25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25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25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25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25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25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25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25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25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25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25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25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25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25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25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25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25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25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25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25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25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25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25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25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25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25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25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25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25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25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25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25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25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25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25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25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25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25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25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25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25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25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25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25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25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25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25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25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25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25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25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25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25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25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25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25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25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25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25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25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25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25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25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25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25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25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25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25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25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25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25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25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25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25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25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25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25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25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25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25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25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25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25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25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25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25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25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25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25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25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25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25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25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25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25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25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25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25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25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25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25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25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25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25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25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25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25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25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25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25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25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25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25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25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25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25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25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25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25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25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25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25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25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25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25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25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25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25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25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25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25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25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25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25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25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25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25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25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25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25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25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25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25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25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25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25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25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25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25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25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25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25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25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25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25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25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25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25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25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25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25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25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25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25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25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25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25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25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25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25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25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25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25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25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25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25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25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25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25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25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25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25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25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25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25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25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25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25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25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25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25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25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25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25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25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25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25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25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25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25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25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25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25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25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25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25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25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25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25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25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25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25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25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25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25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25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25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25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25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25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25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25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25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25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25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25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25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25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25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25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25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25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25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25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25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25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25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25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25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25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25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25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25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25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25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25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25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25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25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25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25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25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25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25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25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25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25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25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25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25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25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25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25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25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25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25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25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25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25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25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25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25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25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25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25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25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25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25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25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25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25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25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25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25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25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25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25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25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25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25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25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25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25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25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25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25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25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25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25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25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25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25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25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25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25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25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25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25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25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25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25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25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25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25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25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25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25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25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25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25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25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25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25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25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25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25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25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25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25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25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25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25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25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25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25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25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25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25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25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25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25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25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25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25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25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25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25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25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25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25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25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25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25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25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25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25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25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25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25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25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25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25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25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25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25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25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25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25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25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25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25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25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25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25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25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25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25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25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25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25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25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25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25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25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25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25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25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25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25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25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25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25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25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25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25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25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25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25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25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25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25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25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25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25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25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25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25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25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25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25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25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25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25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25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25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25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25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25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25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25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25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25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25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25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25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25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25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25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25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25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25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25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25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25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25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25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25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25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25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25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25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25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25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25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25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25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25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25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25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25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25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25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25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25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25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25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25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25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25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25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25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25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25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25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25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25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25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25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25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25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25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25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25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25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25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25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25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25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25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25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25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25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25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25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25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25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25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25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25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25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25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25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25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25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25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25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25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25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25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25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25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25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25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25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25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25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25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25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25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25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25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25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25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25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25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25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25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25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25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25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25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25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25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25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25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25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25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25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25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25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25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25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25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25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25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25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25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25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25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25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25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25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25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25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25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25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25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25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25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25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25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25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25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25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25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25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25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25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25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25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25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25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25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25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25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25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25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25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25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25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25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25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25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25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25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25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25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25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25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25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25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25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25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25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25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25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25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25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25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25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25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25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25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25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25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25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25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25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25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25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25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25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25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25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25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25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25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25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25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25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25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25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25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25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25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25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25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25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25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25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25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25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25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25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25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25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25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25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25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25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25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25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25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25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25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25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25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25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25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25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25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25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25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25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25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25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25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25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25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25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25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25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25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25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25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25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25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25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25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25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25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25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25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25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25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25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25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25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25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25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25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25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25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25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25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25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25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25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25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25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25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25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25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25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25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25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25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25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25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25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25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25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25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25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25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25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25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25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25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25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25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25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25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25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25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25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25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25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25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25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25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25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25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25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25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25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25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25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25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25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25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25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25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25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25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25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25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25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25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25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25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25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25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25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25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25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25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25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25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25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25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25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25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25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25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25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25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25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25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25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25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25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25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25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25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25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25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25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25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25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25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25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25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25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25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25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25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25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25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25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25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25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25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25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25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25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25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25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25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25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25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25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25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25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25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25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25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25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25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25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25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25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25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25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25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25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25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25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25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25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25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25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25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25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25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25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25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25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25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25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25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25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25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25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25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25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25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25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25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25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25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25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25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25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25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25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25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25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25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25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25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25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25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25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25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25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25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25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25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25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25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25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25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25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25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25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25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25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25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25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25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25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25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25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25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25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25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25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25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25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25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25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25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25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25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25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25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25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25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25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25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25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25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25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25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25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25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25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25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25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25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25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25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25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25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25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25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25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25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25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25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25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25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25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25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25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25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25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25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25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25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25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25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25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25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25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25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25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25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25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25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25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25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25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25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25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25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25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25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25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25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25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25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25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25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25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25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25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25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25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25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25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25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25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25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25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25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25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25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25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25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25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25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25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25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25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25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25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25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25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25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25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25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25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25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25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25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25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25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25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25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25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25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25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25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25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25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25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25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25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25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25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25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25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25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25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25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25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25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25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25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25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25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25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25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25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25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25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25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25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25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25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25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25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25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25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25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25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25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25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25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25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25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25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25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25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25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25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25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25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25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25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25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25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25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25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25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25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25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25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25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25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25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25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25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25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25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25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25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25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25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25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25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25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25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25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25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25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25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25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25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25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25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25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25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25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25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25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25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25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25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25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25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25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25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25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25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25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25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25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25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25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25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25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25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25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25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25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25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25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25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25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25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25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25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25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25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25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25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25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25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25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25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25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25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25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25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25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25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25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25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25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25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25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25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25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25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25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25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25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25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25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25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25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25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25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25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25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25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25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25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25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25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25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25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25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25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25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25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25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25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25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25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25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25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25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25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25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25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25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25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25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25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25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25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25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25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25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25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25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25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25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25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25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25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25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25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25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25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25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25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25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25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25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25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25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25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25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25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25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25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25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25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25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25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25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25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25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25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25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25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25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25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25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25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25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25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25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25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25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25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25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25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25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25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25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25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25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25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25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25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25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25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25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25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25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25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25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25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25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25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25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25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25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25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25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25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25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25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25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25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25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25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25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25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25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25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25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25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25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25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25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25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25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25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25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25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25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25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25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25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25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25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25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25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25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25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25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25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25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25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25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25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25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25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25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25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25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25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25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25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25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25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25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25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25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25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25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25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25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25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25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25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25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25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25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25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25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25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25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25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25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25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25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25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25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25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25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25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25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25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25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25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25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25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25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25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25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25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25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25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25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25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25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25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25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25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25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25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25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25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25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25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25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25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25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25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25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25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25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25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25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25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25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25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25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25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25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25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25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25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25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25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25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25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25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25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25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25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25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25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25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25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25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25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25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25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25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25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25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25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25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25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25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25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25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25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25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25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25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25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25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25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25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25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25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25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25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25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25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25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25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25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25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25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25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25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25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25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25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25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25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25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25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25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25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25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25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25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25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25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25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25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25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25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25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25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25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25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25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25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25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25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25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25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25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25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25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25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25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25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25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25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25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25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25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25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25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25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25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25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25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25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25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25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25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25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25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25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25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25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25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25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25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25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25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25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25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25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25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25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25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25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25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25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25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25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25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25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25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25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25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25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25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25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25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25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25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25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25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25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25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25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25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25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25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25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25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25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25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25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25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25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25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25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25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25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25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25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25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25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25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25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25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25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25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25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25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25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25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25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25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25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25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25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25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25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25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25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25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25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25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25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25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25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25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25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25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25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25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25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25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25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25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25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25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25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25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25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25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25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25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25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25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25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25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25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25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25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25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25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25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25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25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25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25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25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25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25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25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25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25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25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25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25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25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25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25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25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25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25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25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25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25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25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25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25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25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25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25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25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25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25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25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25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25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25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25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25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25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25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25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25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25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25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25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25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25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25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25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25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25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25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25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25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25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25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25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25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25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25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25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25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25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25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25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25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25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25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25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25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25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25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25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25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25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25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25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25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25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25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25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25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25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25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25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25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25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25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25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25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25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25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25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25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25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25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25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25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25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25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25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25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25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25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25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25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25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25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25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25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25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25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25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25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25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25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25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25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25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25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25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25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25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25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25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25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25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25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25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25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25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25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25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25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25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25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25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25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25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25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25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25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25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25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25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25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25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25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25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25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25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25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25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25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25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25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25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25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25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25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25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25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25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25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25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25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25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25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25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25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25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25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25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25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25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25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25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25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25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25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25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25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25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25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25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25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25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25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25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25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25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25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25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25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25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25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25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25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25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25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25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25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25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25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25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25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25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25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25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25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25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25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25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25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25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25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25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25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25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25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25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25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25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25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25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25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25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25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25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25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25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25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25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25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25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25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25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25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25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25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25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25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25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25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25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25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25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25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25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25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25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25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25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25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25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25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25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25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25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25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25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25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25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25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25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25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25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25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25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25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25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25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25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25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25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25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25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25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25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25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25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25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25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25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25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25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25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25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25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25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25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25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25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25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25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25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25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25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25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25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25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25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25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25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25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25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25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25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25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25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25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25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25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25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25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25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25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25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25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25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25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25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25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25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25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25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25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25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25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25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25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25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25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25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25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25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25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25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25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25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25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25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25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25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25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25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25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25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25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25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25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25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25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25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25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25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25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25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25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25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25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25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25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25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25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25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25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25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25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25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25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25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25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25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25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25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25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25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25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25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25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25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25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25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25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25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25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25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25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25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25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25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25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25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25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25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25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25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25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25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25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25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25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25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25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25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25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25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25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25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25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25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25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25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25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25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25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25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25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25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25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25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25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25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25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25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25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25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25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25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25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25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25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25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25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25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25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25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25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25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25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25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25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25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25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25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25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25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25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25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25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25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25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25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25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25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25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25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25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25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25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25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25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25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25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25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25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25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25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25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25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25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25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25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25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25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25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25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25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25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25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25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25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25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25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25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25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25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25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25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25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25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25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25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25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25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25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25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25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25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25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25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25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25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25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25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25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25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25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25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25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25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25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25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25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25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25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25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25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25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25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25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25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25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25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25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25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25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25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25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25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25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25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25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25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25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25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25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25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25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25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25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25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25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25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25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25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25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25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25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25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25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25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25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25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25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25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25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25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25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25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25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25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25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25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25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25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25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25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25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25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25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25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25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25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25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25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25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25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25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25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25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25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25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25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25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25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25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25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25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25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25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25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25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25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25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25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25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25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25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25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25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25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25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25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25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25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25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25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25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25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25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25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25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25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25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25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25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25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25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25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25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25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25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25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25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25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25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25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25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25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25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25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25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25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25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25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25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25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25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25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25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25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25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25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25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25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25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25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25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25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25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25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25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25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25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25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25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25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25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25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25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25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25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25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25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25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25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25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25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25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25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25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25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25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25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25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25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25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25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25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25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25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25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25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25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25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25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25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25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25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25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25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25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25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25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25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25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25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25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25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25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25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25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25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25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25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25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25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25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25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25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25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25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25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25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25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25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25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25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25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25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25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25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25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25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25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25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25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25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25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25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25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25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25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25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25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25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25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25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25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25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25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25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25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25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25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25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25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25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25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25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25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25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25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25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25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25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25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25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25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25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25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25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25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25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25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25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25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25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25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25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25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25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25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25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25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25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25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25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25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25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25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25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25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25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25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25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25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25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25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25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25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25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25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25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25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25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25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25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25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25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25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25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25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25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25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25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25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25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25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25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25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25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25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25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25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25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25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25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25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25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25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25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25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25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25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25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25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25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25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25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25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25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25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25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25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25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25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25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25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25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25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25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25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25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25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25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25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25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25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25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25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25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25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25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25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25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25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25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25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25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25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25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25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25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25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25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25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25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25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25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25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25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25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25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25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25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25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25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25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25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25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25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25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25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25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25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25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25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25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25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25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25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25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25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25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25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25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25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25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25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25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25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25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25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25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25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25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25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25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25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25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25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25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25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25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25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25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25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25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25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25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25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25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25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25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25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25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25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25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25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25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25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25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25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25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25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25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25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25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25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25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25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25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25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25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25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25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25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25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25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25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25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25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25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25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25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25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25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25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25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25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25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25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25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25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25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25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25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25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25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25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25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25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25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25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25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25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25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25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25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25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25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25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25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25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25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25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25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25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25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25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25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25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25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25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25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25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25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25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25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25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25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25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25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25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25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25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25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25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25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25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25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25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25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25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25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25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25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25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25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25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25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25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25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25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25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25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25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25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25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25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25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25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25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25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25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25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25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25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25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25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25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25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25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25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25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25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25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25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25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25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25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25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25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25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25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25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25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25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25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25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25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25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25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25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25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25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25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25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25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25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25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25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25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25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25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25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25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25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25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25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25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25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25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25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25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25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25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25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25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25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25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25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25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25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25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25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25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25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25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25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25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25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25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25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25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25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25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25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25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25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25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25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25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25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25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25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25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25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25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25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25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25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25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25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25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25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25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25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25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25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25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25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25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25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25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25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25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25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25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25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25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25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25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25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25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25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25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25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25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25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25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25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25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25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25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25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25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25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25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25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25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25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25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25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25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25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25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25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25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25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25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25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25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25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25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25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25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25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25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25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25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25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25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25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25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25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25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25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25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25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25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25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25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25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25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25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25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25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25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25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25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25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25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25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25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25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25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25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25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25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25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25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25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25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25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25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25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25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25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25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25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25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25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25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25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25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25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25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25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25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25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25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25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25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25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25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25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25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25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25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25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25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25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25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25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25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25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25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25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25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25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25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25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25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25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25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25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25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25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25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25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25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25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25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25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25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25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25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25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25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25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25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25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25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25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25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25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25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25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25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25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25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25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25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25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25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25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25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25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25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25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25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25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25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25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25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25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25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25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25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25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25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25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25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25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25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25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25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25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25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25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25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25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25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25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25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25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25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25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25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25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25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25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25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25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25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25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25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25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25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25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25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25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25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25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25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25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25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25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25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25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25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25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25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25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25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25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25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25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25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25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25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25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25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25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25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25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25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25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25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25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25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25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25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25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25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25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25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25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25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25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25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25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25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25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25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25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25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25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25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25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25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25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25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25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25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25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25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25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25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25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25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25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25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25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25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25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25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25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25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25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25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25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25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25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25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25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25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25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25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25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25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25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25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25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25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25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25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25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25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25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25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25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25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25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25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25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25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25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25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25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25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25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25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25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25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25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25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25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25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25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25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25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25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25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25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25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25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25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25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25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25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25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25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25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25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25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25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25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25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25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25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25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25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25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25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25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25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25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25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25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25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25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25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25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25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25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25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25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25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25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25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25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25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25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25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25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25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25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25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25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25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25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25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25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25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25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25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25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25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25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25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25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25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25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25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25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25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25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25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25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25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25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25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25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25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25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25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25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25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25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25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25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25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25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25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25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25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25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25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25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25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25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25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25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25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25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25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25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25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25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25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25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25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25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25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25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25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25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25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25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25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25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25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25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25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25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25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25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25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25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25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25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25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25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25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25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25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25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25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25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25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25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25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25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25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25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25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25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25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25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25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25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25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25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25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25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25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25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25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25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25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25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25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25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25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25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25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25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25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25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25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25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25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25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25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25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25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25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25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25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25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25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25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25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25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25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25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25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25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25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25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25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25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25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25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25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25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25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25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25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25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25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25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25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25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25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25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25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25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25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25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25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25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25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25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25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25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25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25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25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25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25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25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25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25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25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25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25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25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25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25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25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25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25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25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25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25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25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25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25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25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25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25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25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25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25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25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25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25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25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25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25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25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25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25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25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25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25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25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25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25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25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25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25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25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25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25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25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25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25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25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25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25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25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25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25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25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25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25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25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25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25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25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25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25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25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25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25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25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25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25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25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25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25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25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25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25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25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25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25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25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25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25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25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25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25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25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25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25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25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25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25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25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25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25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25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25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25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25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25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25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25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25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25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25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25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25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25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25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25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25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25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25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25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25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25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25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25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25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25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25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25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25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25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25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25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25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25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25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25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25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25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25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25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25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25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25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25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25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25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25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25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25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25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25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25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25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25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25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25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25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25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25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25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25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25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25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25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25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25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25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25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25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25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25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25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25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25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25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25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25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25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25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25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25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25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25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25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25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25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25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25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25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25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25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25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25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25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25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25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25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25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25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25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25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25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25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25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25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25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25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25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25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25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25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25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25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25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25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25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25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25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25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25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25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25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25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25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25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25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25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25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25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25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25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25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25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25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25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25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25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25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25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25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25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25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25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25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25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25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25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25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25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25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25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25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25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25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25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25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25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25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25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25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25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25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25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25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25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25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25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25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25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25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25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25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25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25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25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25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25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25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25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25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25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25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25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25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25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25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25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25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25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25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25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25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25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25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25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25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25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25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25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25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25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25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25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25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25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25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25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25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25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25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25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25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25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25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25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25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25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25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25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25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25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25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25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25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25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25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25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25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25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25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25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25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25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25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25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25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25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25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25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25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25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25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25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25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25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25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25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25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25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25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25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25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25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25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25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25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25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25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25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25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25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25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25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25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25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25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25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25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25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25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25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25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25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25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25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25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25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25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25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25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25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25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25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25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25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25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25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25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25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25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25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25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25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25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25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25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25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25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25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25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25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25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25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25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25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25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25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25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25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25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25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25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25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25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25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25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25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25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25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25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25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25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25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25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25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25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25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25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25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25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25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25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25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25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25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25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25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25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25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25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25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25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25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25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25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25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25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25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25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25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25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25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25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25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25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25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25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25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25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25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25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25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25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25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25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25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25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25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25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25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25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25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25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25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25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25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25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25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25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25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25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25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25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25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25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25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25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25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25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25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25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25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25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25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25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25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25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25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25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25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25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25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25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25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25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25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25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25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25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25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25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25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25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25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25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25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25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25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25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25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25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25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25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25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25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25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25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25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25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25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25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25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25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25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25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25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25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25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25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25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25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25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25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25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25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25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25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25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25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25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25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25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25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25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25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25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25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25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25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25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25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25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25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25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25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25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25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25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25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25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25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25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25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25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25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25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25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25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25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25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25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25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25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25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25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25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25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25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25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25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25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25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25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25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25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25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25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25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25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25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25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25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25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25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25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25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25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25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25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25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25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25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25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25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25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25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25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25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25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25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25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25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25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25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25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25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25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25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25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25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25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25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25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25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25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25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25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25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25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25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25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25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25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25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25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25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25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25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25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25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25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25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25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25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25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25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25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25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25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25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25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25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25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25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25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25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25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25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25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25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25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25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25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25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25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25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25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25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25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25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25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25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25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25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25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25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25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25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25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25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25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25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25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25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25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25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25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25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25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25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25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25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25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25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25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25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25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25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25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25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25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25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25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25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25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25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25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25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25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25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25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25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25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25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25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25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25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25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25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25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25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25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25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25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25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25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25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25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25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25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25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25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25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25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25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25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25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25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25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25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25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25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25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25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25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25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25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25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25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25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25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25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25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25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25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25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25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25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25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25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25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25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25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25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25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25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25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25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25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25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25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25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25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25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25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25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25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25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25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25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25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25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25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25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25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25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25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25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25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25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25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25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25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25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25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25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25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25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25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25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25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25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25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25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25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25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25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25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25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25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25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25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25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25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25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25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25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25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25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25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25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25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25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25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25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25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25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25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25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25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25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25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25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25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25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25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25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25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25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25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25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25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25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25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25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25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25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25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25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25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25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25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25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25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25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25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25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25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25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25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25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25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25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25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25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25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25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25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25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25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25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25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25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25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25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25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25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25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25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25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25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25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25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25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25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25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25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25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25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25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25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25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25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25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25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25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25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25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25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25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25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25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25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25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25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25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25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25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25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25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25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25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25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25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25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25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25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25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25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25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25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25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25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25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25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25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25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25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25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25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25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25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25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25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25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25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25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25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25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25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25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25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25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25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25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25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25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25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25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25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25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25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25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25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25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25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25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25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25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25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25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25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25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25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25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25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25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25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25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25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25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25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25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25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25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25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25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25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25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25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25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25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25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25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25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25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25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25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25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25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25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25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25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25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25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25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25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25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25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25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25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25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25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25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25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25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25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25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25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25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25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25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25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25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25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25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25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25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25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25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25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25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25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25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25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25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25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25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25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25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25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25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25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25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25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25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25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25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25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25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25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25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25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25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25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25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25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25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25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25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25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25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25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25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25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25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25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25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25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25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25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25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25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25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25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25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25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25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25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25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25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25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25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25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25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25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25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25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25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25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25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25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25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25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25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25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25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25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25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25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25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25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25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25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25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25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25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25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25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25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25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25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25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25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25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25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25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25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25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25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25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25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25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25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25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25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25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25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25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25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25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25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25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25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25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25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25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25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25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25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25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25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25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25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25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25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25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25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25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25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25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25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25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25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25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25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25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25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25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25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25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25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25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25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25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25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25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25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25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25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25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25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25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25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25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25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25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25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25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25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25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25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25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25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25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25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25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25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25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25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25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25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25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25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25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25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25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25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25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25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25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25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25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25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25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25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25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25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25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25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25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25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25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25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25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25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25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25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25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25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25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25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25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25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25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25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25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25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25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25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25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25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25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25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25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25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25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25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25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25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25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25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25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25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25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25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25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25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25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25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25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25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25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25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25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25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25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25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25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25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25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25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25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25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25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25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25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25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25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25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25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25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25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25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25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25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25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25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25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25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25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25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25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25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25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25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25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25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25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25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25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25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25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25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25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25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25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25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25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25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25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25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25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25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25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25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25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25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25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25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25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25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25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25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25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25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25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25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25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25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25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25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25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25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25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25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25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25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25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25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25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25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25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25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25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25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25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25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25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25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25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25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25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25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25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25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25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25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25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25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25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25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25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25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25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25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25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25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25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25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25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25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25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25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25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25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25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25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25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25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25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25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25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25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25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25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25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25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25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25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25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25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25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25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25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25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25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25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25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25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25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25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25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25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25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25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25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25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25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25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25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25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25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25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25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25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25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25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25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25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25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25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25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25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25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25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25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25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25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25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25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25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25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25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25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25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25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25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25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25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25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25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25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25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25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25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25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25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25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25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25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25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25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25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25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25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25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25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25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25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25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25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25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25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25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25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25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25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25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25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25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25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25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25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25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25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25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25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25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25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25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25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25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25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25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25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25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25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25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25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25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25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25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25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25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25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25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25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25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25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25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25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25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25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25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25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25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25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25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25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25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25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25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25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25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25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25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25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25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25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25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25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25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25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25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25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25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25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25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25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25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25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25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25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25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25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25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25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25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25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25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25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25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25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25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25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25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25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25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25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25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25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25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25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25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25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25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25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25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25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25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25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25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25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25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25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25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25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25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25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25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25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25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25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25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25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25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25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25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25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25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25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25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25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25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25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25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25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25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25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25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25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25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25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25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25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25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25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25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25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25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25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25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25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25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25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25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25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25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25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25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25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25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25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25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25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25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25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25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25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25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25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25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25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25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25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25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25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25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25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25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25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25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25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25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25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25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25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25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25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25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25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25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25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25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25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25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25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25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25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25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25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25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25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25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25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25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25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25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25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25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25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25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25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25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25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25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25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25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25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25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25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25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25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25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25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25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25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25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25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25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25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25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25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25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25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25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25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25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25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25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25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25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25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25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25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25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25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25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25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25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25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25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25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25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25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25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25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25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25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25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25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25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25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25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25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25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25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25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25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25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25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25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25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25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25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25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25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25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25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25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25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25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25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25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25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25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25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25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25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25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25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25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25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25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25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25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25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25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25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25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25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25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25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25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25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25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25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25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25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25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25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25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25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25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25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25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25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25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25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25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25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25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25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25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25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25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25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25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25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25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25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25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25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25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25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25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25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25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25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25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25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25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25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25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25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25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25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25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25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25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25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25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25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25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25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25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25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25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25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25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25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25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25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25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25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25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25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25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25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25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25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25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25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25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25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25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25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25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25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25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25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25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25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25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25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25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25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25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25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25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25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25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25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25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25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25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25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25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25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25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25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25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25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25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25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25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25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25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25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25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25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25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25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25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25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25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25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25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25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25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25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25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25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25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25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25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25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25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25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25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25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25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25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25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25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25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25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25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25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25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25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25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25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25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25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25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25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25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25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25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25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25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25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25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25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25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25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25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25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25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25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25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25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25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25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25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25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25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25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25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25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25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25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25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25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25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25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25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25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25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25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25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25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25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25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25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25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25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25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25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25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25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25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25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25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25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25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25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25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25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25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25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25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25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25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25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25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25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25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25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25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25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25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25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25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25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25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25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25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25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25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25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25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25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25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25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25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25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25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25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25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25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25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25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25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25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25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25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25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25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25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25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25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25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25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25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25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25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25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25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25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25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25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25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25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25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25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25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25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25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25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25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25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25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25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25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25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25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25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25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25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25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25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25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25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25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25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25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25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25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25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25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25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25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25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25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25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25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25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25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25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25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25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25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25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25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25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25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25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25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25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25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25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25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25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25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25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25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25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25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25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25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25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25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25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25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25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25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25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25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25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25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25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25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25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25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25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25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25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25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25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25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25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25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25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25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25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25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25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25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25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25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25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25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25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25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25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25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25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25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25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25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25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25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25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25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25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25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25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25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25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25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25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25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25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25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25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25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25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25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25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25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25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25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25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25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25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25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25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25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25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25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25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25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25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25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25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25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25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25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25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25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25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25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25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25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25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25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25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25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25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25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25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25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25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25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25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25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25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25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25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25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25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25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25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25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25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25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25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25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25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25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25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25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25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25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25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25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25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25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25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25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25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25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25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25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25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25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25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25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25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25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25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25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25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25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25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25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25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25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25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25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25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25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25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25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25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25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25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25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25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25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25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25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25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25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25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25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25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25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25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25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25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25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25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25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25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25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25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25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25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25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25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25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25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25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25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25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25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25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25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25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25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25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25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25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25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25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25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25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25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25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25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25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25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25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25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25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25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25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25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25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25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25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25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25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25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25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25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25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25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25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25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25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25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25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25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25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25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25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25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25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25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25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25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25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25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25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25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25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25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25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25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25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25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25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25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25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25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25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25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25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25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25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25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25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25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25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25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25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25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25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25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25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25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25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25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25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25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25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25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25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25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25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25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25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25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25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25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25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25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25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25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25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25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25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25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25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25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25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25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25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25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25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25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25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25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25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25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25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25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25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25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25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25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25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25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25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25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25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25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25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25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25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25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25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25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25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25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25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25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25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25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25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25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25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25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25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25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25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25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25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25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25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25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25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25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25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25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25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25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25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25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25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25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25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25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25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25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25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25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25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25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25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25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25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25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25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25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25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25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25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25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25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25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25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25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25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25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25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25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25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25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25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25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25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25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25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25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25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25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25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25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25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25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25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25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25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25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25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25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25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25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25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25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25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25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25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25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25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25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25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25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25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25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25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25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25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25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25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25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25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25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25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25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25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25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25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25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25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25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25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25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25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25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25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25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25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25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25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25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25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25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25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25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25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25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25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25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25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25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25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25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25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25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25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25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25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25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25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25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25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25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25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25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25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25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25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25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25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25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25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25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25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25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25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25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25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25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25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25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25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25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25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25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25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25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25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25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25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25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25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25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25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25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25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25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25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25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25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25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25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25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25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25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25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25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25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25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25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25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25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25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25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25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25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25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25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25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25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25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25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25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25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25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25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25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25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25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25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25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25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25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25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25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25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25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25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25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25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25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25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25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25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25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25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25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25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25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25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25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25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25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25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25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25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25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25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25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25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25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25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25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25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25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25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25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25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25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25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25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25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25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25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25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25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25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25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25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25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25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25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25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25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25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25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25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25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25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25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25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25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25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25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25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25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25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25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25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25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25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25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25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25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25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25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25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25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25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25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25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25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25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25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25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25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25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25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25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25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25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25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25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25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25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25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25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25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25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25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25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25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25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25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25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25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25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25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25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25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25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25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25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25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25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25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25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25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25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25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25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25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25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25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25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25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25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25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25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25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25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25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25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25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25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25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25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25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25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25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25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25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25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25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25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25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25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25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25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25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25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25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25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25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25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25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25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25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25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25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25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25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25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25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25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25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25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25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25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25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25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25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25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25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25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25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25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25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25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25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25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25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25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25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25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25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25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25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25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25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25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25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25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25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25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25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25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25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25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25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25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25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25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25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25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25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25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25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25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25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25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25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25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25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25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25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25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25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25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25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25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25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25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25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25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25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25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25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25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25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25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25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25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25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25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25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25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25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25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25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25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25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25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25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25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25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25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25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25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25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25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25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25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25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25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25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25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25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25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25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25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25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25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25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25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25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25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25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25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25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25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25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25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25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25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25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25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25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25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25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25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25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25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25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25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25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25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25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25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25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25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25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25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25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25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25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25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25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25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25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25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25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25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25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25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25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25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25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25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25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25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25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25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25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25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25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25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25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25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25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25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25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25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25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25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25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25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25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25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25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25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25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25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25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25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25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25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25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25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25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25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25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25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25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25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25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25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25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25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25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25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25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25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25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25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25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25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25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25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25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25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25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25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25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25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25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25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25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25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25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25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25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25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25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25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25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25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25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25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25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25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25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25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25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25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25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25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25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25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25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25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25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25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25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25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25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25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25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25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25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25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25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25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25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25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25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25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25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25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25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25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25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25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25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25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25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25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25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25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25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25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25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25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25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25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25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25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25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25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25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25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25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25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25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25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25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25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25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25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25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25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25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25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25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25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25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25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25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25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25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25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25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25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25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25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25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25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25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25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25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25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25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25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25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25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25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25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25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25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25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25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25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25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25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25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25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25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25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25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25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25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25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25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25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25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25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25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25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25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25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25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25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25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25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25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25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25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25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25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25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25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25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25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25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25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25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25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25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25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25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25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25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25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25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25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25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25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25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25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25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25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25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25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25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25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25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25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25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25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25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25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25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25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25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25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25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25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25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25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25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25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25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25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25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25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25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25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25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25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25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25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25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25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25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25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25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25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25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25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25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25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25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25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25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25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25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25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25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25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25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25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25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25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25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25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25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25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25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25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25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25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25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25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25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25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25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25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25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25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25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25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25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25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25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25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25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25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25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25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25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25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25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25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25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25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25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25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25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25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25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25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25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25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25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25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25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25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25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25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25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25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25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25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25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25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25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25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25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25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25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25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25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25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25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25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25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25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25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25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25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25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25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25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25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25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25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25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25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25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25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25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25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25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25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25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25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25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25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25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25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25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25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25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25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25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25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25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25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25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25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25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25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25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25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25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25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25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25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25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25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25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25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25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25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25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25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25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25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25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25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25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25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25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25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25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25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25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25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25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25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25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25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25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25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25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25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25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25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25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25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25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25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25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25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25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25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25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25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25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25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25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25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25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25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25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25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25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25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25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25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25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25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25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25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25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25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25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25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25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25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25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25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25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25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25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25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25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25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25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25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25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25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25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25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25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25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25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25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25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25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25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25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25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25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25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25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25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25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25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25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25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25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25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25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25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25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25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25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25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25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25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25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25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25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25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25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25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25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25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25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25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25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25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25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25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25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25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25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25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25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25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25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25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25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25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25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25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25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25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25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25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25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25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25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25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25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25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25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25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25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25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25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25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25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25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25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25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25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25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25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25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25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25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25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25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25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25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25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25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25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25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25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25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25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25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25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25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25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25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25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25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25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25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25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25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25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25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25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25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25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25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25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25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25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25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25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25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25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25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25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25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25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25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25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25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25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25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25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25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25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25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25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25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25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25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25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25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25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25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25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25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25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25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25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25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25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25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25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25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25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25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25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25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25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25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25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25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25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25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25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25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25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25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25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25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25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25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25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25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25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25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25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25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25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25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25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25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25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25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25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25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25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25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25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25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25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25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25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25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25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25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25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25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25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25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25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25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25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25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25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25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25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25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25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25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25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25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25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25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25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25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25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25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25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25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25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25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25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25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25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25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25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25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25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25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25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25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25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25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25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25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25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25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25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25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25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25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25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25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25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25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25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25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25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25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25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25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25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25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25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25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25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25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25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25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25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25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25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25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25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25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25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25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25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25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25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25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25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25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25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25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25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25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25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25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25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25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25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25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25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25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25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25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25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25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25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25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25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25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25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25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25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25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25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25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25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25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25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25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25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25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25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25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25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25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25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25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25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25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25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25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25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25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25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25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25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25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25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25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25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25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25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25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25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25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25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25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25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25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25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25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25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25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25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25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25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25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25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25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25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25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25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25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25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25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25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25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25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25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25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25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25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25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25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25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25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25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25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25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25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25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25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25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25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25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25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25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25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25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25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25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25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25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25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25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25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25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25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25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25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25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25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25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25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25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25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25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25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25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25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25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25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25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25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25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25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25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25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25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25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25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25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25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25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25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25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25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25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25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25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25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25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25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25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25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25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25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25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25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25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25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25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25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25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25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25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25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25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25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25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25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25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25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25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25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25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25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25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25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25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25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25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25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25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25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25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25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25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25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25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25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25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25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25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25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25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25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25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25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25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25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25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25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25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25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25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25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25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25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25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25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25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25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25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25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25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25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25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25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25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25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25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25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25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25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25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25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25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25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25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25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25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25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25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25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25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25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25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25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25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25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25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25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25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25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25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25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25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25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25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25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25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25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25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25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25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25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25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25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25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25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25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25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25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25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25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25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25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25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25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25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25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25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25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25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25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25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25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25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25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25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25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25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25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25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25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25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25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25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25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25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25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25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25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25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25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25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25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25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25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25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25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25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25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25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25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25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25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25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25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25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25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25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25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25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25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25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25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25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25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25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25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25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25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25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25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25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25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25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25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25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25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25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25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25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25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25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25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25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25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25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25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25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25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25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25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25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25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25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25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25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25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25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25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25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25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25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25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25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25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25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25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25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25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25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25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25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25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25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25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25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25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25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25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25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25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25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25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25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25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25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25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25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25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25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25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25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25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25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25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25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25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25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25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25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25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25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25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25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25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25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25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25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25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25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25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25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25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25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25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25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25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25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25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25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25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25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25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25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25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25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25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25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25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25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25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25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25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25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25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25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25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25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25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25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25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25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25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25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25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25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25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25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25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25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25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25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25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25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25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25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25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25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25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25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25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25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25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25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25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25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25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25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25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25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25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25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25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25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25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25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25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25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25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25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25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25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25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25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25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25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25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25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25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25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25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25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25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25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25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25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25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25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25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25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25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25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25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25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25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25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25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25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25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25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25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25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25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25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25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25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25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25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25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25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25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25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25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25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25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25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25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25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25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25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25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25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25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25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25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25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25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25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25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25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25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25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25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25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25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25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25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25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25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25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25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25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25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25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25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25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25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25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25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25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25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25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25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25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25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25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25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25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25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25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25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25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25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25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25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25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25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25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25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25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25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25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25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25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25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25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25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25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25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25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25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25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25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25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25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25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25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25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25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25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25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25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25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25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25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25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25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25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25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25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25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25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25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25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25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25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25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25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25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25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25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25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25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25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25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25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25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25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25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25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25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25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25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25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25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25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25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25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25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25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25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25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25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25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25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25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25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25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25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25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25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25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25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25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25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25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25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25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25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25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25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25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25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25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25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25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25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25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25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25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25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25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25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25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25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25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25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25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25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25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25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25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25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25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25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25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25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25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25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25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25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25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25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25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25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25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25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25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25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25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25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25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25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25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25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25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25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25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25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25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25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25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25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25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25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25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25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25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25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25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25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25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25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25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25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25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25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25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25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25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25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25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25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25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25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25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25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25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25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25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25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25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25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25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25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25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25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25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25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25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25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25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25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25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25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25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25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25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25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25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25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25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25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25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25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25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25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25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25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25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25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25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25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25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25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25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25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25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25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25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25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25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25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25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25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25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25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25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25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25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25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25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25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25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25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25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25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25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25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25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25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25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25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25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25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25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25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25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25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25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25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25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25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25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25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25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25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25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25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25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25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25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25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25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25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25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25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25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25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25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25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25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25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25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25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25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25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25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25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25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25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25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25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25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25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25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25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25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25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25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25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25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25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25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25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25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25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25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25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25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25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25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25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25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25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25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25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25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25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25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25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25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25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25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25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25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25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25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25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25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25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25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25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25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25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25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25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25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25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25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25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25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25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25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25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25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25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25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25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25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25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25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25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25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25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25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25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25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25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25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25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25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25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25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25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25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25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25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25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25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25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25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25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25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25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25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25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25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25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25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25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25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25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25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25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25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25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25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25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25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25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25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25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25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25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25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25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25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25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25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25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25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25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25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25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25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25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25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25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25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25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25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25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25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25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25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25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25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25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25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25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25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25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25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25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25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25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25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25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25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25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25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25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25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25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25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25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25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25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25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25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25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25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25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25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25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25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25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25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25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25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25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25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25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25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25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25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25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25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25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25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25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25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25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25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25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25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25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25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25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25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25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25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25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25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25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25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25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25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25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25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25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25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25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25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25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25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25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25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25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25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25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25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25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25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25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25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25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25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25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25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25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25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25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25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25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25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25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25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25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25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25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25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25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25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25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25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25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25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25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25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25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25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25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25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25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25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25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25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25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25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25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25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25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25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25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25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25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25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25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25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25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25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25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25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25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25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25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25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25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25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25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25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25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25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25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25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25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25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25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25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25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25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25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25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25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25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25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25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25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25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25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25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25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25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25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25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25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25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25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25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25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25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25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25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25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25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25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25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25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25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25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25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25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25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25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25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25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25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25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25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25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25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25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25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25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25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25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25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25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25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25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25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25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25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25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25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25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25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25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25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25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25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25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25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25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25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25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25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25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25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25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25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25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25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25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25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25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25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25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25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25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25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25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25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25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25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25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25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25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25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25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25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25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25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25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25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25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25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25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25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25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25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25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25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25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25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25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25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25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25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25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25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25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25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25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25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25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25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25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25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25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25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25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25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25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25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25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25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25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25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25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25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25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25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25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25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25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25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25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25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25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25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25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25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25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25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25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25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25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25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25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25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25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25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25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25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25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25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25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25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25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25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25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25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25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25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25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25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25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25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25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25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25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25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25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25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25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25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25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25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25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25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25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25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25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25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25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25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25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25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25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25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25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25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25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25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25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25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25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25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25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25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25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25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25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25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25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25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25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25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25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25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25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25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25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25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25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25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25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25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25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25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25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25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25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25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25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25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25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25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25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25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25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25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25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25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25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25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25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25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25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25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25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25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25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25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25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25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25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25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25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25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25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25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25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25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25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25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25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25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25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25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25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25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25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25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25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25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25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25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25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25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25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25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25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25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25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25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25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25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25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25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25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25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25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25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25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25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25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25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25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25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25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25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25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25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25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25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25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25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25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25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25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25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25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25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25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25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25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25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25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25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25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25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25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25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25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25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25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25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25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25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25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25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25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25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25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25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25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25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25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25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25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25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25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25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25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25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25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25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25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25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25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25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25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25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25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25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25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25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25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25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25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25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25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25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25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25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25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25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25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25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25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25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25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25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25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25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25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25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25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25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25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25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25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25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25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25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25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25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25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25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25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25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25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25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25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25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25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25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25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25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25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25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25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25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25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25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25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25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25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25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25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25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25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25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25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25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25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25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25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25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25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25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25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25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25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25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25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25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25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25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25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25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25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25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25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25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25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25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25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25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25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25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25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25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25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25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25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25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25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25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25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25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25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25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25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25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25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25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25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25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25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25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25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25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25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25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25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25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25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25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25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25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25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25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25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25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25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25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25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25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25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25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25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25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25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25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25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25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25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25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25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25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25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25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25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25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25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25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25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25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25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25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25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25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25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25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25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25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25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25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25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25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25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25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25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25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25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25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25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25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25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25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25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25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25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25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25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25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25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25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25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25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25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25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25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25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25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25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25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25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25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25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25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25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25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25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25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25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25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25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25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25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25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25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25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25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25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25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25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25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25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25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25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25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25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25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25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25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25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25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25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25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25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25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25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25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25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25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25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25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25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25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25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25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25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25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25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25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25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25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25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25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25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25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25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25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25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25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25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25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25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25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25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25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25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25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25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25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25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25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25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25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25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25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25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25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25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25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25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25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25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25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25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25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25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25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25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25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25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25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25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25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25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25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25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25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25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25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25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25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25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25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25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25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25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25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25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25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25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25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25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25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25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25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25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25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25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25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25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25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25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25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25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25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25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25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25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25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25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25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25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25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25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25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25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25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25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25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25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25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25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25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25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25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25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25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25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25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25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25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25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25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25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25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25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25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25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25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25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25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25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25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25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25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25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25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25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25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25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25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25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25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25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25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25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25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25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25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25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25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25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25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25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25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25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25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25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25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25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25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25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25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25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25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25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25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25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25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25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25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25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25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25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25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25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25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25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25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25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25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25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25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25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25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25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25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25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25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25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25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25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25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25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25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25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25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25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25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25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25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25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25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25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25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25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25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25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25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25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25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25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25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25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25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25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25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25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25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25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25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25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25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25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25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25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25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25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25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25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25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25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25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25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25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25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25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25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25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25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25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25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25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25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25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25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25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25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25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25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25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25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25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25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25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25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25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25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25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25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25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25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25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25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25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25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25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25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25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25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25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25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25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25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25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25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25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25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25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25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25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25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25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25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25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25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25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25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25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25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25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25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25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25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25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25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25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25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25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25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25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25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25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25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25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25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25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25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25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25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25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25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25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25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25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25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25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25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25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25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25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25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25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25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25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25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25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25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25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25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25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25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25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25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25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25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25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25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25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25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25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25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25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25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25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25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25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25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25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25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25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25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25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25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25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25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25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25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25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25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25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25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25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25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25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25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25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25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25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25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25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25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25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25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25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25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25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25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25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25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25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25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25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25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25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25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25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25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25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25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25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25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25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25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25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25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25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25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25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25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25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25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25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25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25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25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25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25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25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25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25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25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25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25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25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25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25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25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25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25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25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25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25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25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25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25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25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25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25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25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25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25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25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25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25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25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25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25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25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25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25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25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25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25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25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25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25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25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25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25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25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25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25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25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25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25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25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25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25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25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25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25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25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25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25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25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25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25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25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25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25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25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25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25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25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25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25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25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25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25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25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25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25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25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25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25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25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25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25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25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25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25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25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25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25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25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25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25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25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25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25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25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25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25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25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25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25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25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25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25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25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25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25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25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25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25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25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25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25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25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25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25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25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25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25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25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25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25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25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25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25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25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25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25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25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25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25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25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25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25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25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25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25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25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25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25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25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25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25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25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25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25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25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25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25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25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25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25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25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25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25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25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25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25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25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25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25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25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25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25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25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25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25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25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25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25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25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25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25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25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25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25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25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25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25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25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25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25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25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25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25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25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25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25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25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25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25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25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25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25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25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25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25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25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25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25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25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25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25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25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25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25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25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25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25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25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25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25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25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25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25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25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25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25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25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25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25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25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25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25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25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25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25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25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25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25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25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25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25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25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25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25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25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25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25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25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25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25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25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25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25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25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25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25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25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25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25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25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25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25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25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25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25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25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25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25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25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25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25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25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25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25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25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25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25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25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25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25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25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25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25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25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25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25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25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25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25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25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25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25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25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25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25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25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25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25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25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25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25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25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25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25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25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25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25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25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25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25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25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25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25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25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25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25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25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25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25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25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25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25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25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25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25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25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25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25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25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25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25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25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25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25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25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25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25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25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25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25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25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25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25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25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25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25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25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25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25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25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25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25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25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25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25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25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25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25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25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25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25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25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25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25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25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25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25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25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25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25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25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25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25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25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25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25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25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25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25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25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25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25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25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25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25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25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25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25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25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25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25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25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25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25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25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25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25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25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25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25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25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25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25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25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25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25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25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25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25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25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25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25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25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25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25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25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25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25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25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25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25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25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25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25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25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25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25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25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25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25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25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25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25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25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25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25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25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25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25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25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25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25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25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25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25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25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25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25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25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25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25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25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25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25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25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25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25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25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25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25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25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25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25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25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25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25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25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25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25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25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25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25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25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25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25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25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25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25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25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25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25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25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25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25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25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25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25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25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25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25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25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25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25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25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25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25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25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25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25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25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25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25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25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25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25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25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25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25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25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25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25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25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25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25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25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25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25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25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25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25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25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25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25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25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25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25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25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25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25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25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25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25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25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25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25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25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25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25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25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25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25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25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25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25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25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25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25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25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25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25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25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25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25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25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25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25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25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25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25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25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25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25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25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25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25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25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25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25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25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25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25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25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25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25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25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25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25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25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25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25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25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25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25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25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25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25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25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25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25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25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25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25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25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25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25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25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25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25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25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25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25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25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25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25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25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25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25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25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25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25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25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25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25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25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25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25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25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25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25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25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25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25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25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25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25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25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25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25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25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25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25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25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25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25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25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25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25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25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25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25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25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25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25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25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25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25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25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25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25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25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25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25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25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25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25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25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25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25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25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25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25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25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25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25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25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25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25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25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25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25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25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25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25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25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25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25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25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25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25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25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25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25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25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25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25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25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25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25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25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25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25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25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25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25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25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25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25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25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25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25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25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25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25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25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25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25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25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25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25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25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25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25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25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25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25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25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25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25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25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25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25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25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25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25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25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25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25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25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25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25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25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25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25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25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25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25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25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25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25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25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25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25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25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25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25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25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25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25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25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25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25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25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25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25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25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25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25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25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25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25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25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25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25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25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25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25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25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25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25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25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25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25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25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25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25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25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25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25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25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25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25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25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25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25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25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25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25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25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25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25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25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25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25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25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25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25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25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25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25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25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25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25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25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25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25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25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25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25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25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25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25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25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25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25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25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25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25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25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25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25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25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25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25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25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25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25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25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25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25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25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25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25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25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25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25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25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25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25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25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25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25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25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25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25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25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25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25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25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25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25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25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25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25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25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25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25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25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25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25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25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25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25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25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25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25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25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25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25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25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25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25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25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25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25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25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25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25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25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25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25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25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25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25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25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25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25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25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25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25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25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25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25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25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25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25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25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25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25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25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25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25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25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25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25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25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25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25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25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25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25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25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25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25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25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25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25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25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25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25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25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25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25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25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25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25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25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25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25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25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25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25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25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25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25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25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25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25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25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25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25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25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25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25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25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25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25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25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25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25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25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25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25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25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25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25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25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25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25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25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25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25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25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25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25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25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25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25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25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25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25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25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25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25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25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25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25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25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25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25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25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25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25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25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25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25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25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25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25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25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25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25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25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25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25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25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25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25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25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25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25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25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25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25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25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25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25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25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25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25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25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25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25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25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25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25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25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25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25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25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25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25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25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25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25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25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25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25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25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25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25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25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25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25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25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25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25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25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25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25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25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25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25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25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25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25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25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25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25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25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25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25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25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25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25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25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25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25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25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25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25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25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25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25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25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25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25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25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25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25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25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25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25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25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25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25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25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25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25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25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25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25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25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25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25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25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25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25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25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25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25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25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25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25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25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25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25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25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25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25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25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25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25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25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25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25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25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25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25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25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25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25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25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25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25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25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25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25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25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25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25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25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25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25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25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25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25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25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25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25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25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25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25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25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25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25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25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25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25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25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25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25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25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25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25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25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25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25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25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25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25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25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25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25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25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25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25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25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25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25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25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25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25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25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25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25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25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25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25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25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25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25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25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25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25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25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25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25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25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25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25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25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25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25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25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25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25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25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25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25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25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25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25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25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25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25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25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25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25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25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25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25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25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25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25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25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25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25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25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25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25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25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25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25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25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25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25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25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25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25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25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25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25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25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25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25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25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25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25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25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25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25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25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25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25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25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25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25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25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25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25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25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25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25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25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25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25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25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25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25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25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25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25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25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25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25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25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25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25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25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25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25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25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25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25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25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25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25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25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25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25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25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25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25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25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25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25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25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25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25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25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25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25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25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25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25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25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25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25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25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25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25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25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25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25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25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25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25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25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25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25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25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25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25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25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25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25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25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25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25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25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25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25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25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25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25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25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25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25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25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25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25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25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25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25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25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25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25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25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25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25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25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25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25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25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25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25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25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25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25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25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25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25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25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25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25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25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25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25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25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25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25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25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25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25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25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25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25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25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25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25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25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25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25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25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25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25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25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25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25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25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25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25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25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25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25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25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25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25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25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25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25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25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25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25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25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25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25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25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25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25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25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25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25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25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25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25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25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25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25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25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25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25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25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25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25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25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25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25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25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25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25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25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25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25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25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25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25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25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25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25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25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25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25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25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25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25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25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25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25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25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25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25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25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25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25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25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25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25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25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25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25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25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25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25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25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25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25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25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25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25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25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25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25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25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25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25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25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25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25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25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25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25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25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25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25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25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25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25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25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25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25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25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25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25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25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25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25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25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25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25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25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25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25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25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25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25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25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25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25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25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25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25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25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25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25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25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25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25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25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25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25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25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25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25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25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25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25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25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25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25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25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25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25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25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25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25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25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25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25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25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25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25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25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25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25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25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25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25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25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25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25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25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25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25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25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25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25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25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25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25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25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25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25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25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25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25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25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25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25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25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25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25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25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25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25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25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25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25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25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25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25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25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25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25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25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25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25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25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25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25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25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25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25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25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25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25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25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25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25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25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25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25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25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25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25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25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25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25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25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25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25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25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25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25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25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25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25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25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25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25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25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25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25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25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25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25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25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25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25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25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25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25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25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25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25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25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25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25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25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25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25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25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25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25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25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25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25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25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25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25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25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25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25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25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25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25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25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25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25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25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25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25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25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25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25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25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25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25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25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25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25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25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25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25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25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25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25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25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25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25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25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25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25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25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25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25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25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25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25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25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25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25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25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25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25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25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25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25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25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25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25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25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25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25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25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25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25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25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25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25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25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25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25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25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25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25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25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25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25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25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25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25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25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25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25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25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25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25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25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25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25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25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25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25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25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25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25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25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25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25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25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25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25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25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25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25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25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25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25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25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25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25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25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25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25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25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25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25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25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25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25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25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25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25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25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25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25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25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25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25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25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25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25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25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25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25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25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25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25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25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25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25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25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25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25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25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25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25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25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25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25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25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25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25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25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25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25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25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25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25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25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25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25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25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25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25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25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25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25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25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25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25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25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25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25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25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25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25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25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25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25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25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25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25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25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25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25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25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25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25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25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25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25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25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25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25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25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25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25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25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25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25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25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25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25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25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25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25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25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25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25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25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25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25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25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25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25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25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25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25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25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25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25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25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25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25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25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25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25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25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25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25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25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25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25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25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25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25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25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25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25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25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25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25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25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25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25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25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25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25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25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25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25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25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25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25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25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25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25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25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25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25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25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25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25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25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25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25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25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25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25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25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25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25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25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25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25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25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25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25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25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25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25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25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25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25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25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25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25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25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25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25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25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25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25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25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25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25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25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25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25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25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25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25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25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25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25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25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25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25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25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25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25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25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25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25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25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25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25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25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25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25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25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25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25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25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25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25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25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25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25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25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25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25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25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25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25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25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25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25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25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25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25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25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25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25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25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25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25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25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25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25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25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25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25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25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25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25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25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25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25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25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25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25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25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25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25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25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25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25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25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25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25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25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25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25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25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25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25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25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25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25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25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25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25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25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25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25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25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25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25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25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25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25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25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25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25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25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25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25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25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25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25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25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25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25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25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25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25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25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25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25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25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25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25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25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25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25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25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25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25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25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25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25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25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25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25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25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25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25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25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25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25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25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25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25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25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25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25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25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25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25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25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25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25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25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25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25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25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25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25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25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25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25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25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25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25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25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25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25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25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25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25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25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25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25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25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25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25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25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25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25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25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25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25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25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25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25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25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25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25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25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25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25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25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25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25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25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25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25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25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25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25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25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25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25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25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25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25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25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25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25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25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25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25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25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25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25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25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25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25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25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25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25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25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25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25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25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25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25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25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25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25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25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25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25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25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25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25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25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25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25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25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25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25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25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25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25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25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25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25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25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25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25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25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25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25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25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25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25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25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25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25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25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25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25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25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25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25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25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25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25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25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25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25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25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25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25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25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25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25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25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25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25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25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25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25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25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25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25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25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25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25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25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25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25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25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25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25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25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25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25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25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25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25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25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25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25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25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25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25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25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25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25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25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25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25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25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25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25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25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25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25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25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25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25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25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25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25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25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25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25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25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25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25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25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25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25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25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25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25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25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25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25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25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25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25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25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25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25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25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25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25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25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25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25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25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25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25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25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25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25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25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25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25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25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25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25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25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25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25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25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25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25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25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25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25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25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25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25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25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25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25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25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25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25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25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25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25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25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25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25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25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25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25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25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25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25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25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25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25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25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25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25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25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25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25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25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25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25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25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25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25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25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25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25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25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25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25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25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25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25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25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25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25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25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25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25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25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25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25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25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25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25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25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25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25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25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25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25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25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25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25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25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25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25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25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25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25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25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25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25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25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25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25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25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25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25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25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25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25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25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25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25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25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25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25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25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25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25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25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25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25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25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25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25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25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25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25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25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25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25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25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25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25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25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25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25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25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25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25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25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25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25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25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25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25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25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25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25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25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25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25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25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25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25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25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25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25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25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25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25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25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25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25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25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25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25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25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25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25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25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25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25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25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25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25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25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25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25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25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25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25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25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25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25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25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25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25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25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25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25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25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25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25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25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25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25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25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25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25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25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25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25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25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25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25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25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25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25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25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25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25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25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25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25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25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25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25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25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25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25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25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25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25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25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25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25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25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25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25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25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25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25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25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25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25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25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25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25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25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25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25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25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25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25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25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25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25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25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25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25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25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25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25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25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25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25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25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25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25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25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25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25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25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25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25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25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25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25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25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25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25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25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25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25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25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25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25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25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25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25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25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25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25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25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25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25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25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25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25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25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25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25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25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25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25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25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25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25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25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25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25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25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25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25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25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25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25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25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25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25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25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25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25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25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25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25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25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25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25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25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25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25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25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25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25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25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25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25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25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25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25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25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25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25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25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25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25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25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25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25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25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25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25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25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25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25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25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25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25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25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25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25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25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25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25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25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25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25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25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25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25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25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25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25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25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25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25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25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25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25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25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25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25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25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25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25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25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25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25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25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25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25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25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25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25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25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25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25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25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25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25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25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25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25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25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25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25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25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25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25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25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25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25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25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25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25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25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25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25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25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25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25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25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25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25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25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25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25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25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25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25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25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25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25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25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25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25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25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25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25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25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25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25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25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25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25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25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25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25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25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25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25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25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25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25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25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25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25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25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25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25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25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25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25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25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25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25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25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25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25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25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25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25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25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25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25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25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25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25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25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25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25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25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25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25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25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25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25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25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25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25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25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25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25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25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25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25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25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25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25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25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25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25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25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25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25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25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25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25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25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25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25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25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25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25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25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25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25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25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25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25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25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25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25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25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25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25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25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25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25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25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25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25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25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25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25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25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25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25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25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25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25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25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25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25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25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25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25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25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25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25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25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25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25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25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25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25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25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25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25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25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25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25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25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25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25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25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25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25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25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25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25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25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25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25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25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25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25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25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25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25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25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25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25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25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25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25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25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25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25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25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25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25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25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25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25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25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25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25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25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25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25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25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25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25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25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25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25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25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25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25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25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25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25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25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25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25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25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25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25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25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25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25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25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25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25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25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25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25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25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25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25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25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25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25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25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25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25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25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25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25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25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25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25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25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25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25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25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25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25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25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25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25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25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25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25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25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25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25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25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25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25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25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25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25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25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25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25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25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25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25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25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25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25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25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25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25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25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25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25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25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25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25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25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25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25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25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25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25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25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25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25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25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25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25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25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25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25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25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25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25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25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25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25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25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25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25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25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25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25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25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25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25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25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25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25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25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25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25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25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25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25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25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25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25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25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25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25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25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25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25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25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25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25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25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25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25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25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25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25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25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25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25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25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25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25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25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25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25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25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25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25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25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25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25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25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25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25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25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25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25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25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25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25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25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25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25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25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25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25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25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25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25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25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25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25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25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25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25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25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25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25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25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25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25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25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25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25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25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25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25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25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25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25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25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25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25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25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25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25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25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25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25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25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25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25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25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25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25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25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25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25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25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25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25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25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25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25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25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25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25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25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25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25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25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25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25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25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25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25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25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25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25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25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25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25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25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25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25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25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25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25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25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25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25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25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25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25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25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25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25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25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25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25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25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25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25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25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25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25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25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25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25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25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25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25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25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25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25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25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25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25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25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25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25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25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25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25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25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25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25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25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25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25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25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25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25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25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25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25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25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25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25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25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25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25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25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25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25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25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25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25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25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25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25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25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25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25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25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25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25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25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25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25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25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25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25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25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25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25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25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25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25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25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25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25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25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25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25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25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25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25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25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25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25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25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25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25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25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25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25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25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25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25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25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25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25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25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25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25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25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25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25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25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25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25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25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25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25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25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25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25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25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25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25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25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25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25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25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25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25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25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25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25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25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25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25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25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25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25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25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25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25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25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25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25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25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25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25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25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25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25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25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25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25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25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25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25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25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25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25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25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25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25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25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25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25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25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25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25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25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25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25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25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25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25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25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25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25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25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25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25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25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25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25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25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25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25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25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25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25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25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25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25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25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25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25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25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25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25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25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25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25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25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25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25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25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25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25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25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25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25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25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25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25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25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25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25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25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25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25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25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25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25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25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25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25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25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25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25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25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25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25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25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25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25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25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25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25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25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25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25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25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25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25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25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25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25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25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25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25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25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25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25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25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25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25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25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25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25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25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25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25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25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25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25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25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25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25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25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25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25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25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25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25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25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25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25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25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25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25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25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25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25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25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25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25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25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25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25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25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25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25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25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25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25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25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25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25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25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25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25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25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25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25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25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25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25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25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25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25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25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25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25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25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25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25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25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25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25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25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25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25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25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25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25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25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25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25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25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25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25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25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25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25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25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25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25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25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25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25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25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25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25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25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25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25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25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25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25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25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25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25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25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25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25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25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25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25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25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25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25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25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25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25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25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25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25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25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25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25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25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25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25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25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25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25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25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25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25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25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25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25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25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25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25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25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25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25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25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25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25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25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25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25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25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25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25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25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25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25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25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25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25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25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25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25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25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25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25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25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25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25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25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25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25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25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25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25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25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25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25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25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25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25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25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25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25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25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25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25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25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25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25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25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25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25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25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25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25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25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25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25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25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25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25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25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25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25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25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25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25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25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25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25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25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25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25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25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25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25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25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25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25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25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25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25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25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25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25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25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25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25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25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25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25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25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25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25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25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25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25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25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25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25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25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25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25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25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25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25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25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25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25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25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25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25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25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25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25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25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25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25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25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25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25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25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25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25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25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25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25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25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25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25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25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25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25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25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25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25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25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25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25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25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25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25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25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25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25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25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25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25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25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25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25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25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25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25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25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25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25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25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25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25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25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25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25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25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25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25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25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25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25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25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25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25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25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25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25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25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25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25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25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25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25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25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25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25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25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25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25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25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25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25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25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25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25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25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25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25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25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25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25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25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25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25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25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25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25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25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25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25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25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25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25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25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25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25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25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25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25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25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25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25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25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25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25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25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25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25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25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25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25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25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25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25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25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25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25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25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25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25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25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25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25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25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25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25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25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25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25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25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25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25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25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25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25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25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25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25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25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25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25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25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25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25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25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25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25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25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25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25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25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25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25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25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25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25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25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25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25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25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25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25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25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25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25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25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25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25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25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25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25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25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25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25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25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25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25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25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25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25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25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25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25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25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25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25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25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25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25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25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25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25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25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25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25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25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25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25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25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25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25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25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25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25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25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25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25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25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25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25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25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25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25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25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25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25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25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25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25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25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25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25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25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25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25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25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25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25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25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25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25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25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25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25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25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25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25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25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25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25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25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25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25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25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25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25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25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25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25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25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25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25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25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25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25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25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25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25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25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25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25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25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25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25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25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25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25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25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25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25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25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25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25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25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25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25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25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25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25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25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25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25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25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25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25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25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25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25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25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25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25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25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25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25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25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25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25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25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25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25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25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25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25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25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25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25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25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25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25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25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25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25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25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25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25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25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25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25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25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25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25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25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25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25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25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25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25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25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25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25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25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25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25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25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25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25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25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25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25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25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25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25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25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25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25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25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25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25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25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25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25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25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25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25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25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25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25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25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25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25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25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25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25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25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25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25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25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25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25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25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25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25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25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25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25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25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25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25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25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25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25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25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25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25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25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25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25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25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25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25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25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25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25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25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25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25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25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25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25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25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25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25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25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25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25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25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25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25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25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25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25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25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25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25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25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25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25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25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25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25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25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25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25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25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25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25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25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25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25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25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25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25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25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25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25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25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25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25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25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25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25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25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25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25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25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25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25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25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25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25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25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25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25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25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25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25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25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25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25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25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25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25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25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25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25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25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25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25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25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25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25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25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25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25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25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25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25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25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25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25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25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25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25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25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25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25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25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25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25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25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25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25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25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25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25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25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25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25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25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25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25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25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25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25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25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25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25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25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25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25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25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25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25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25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25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25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25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25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25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25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25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25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25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25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25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25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25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25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25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25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25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25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25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25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25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25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25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25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25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25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25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25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25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25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25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25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25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25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25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25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25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25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25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25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25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25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25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25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25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25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25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25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25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25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25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25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25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25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25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25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25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25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25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25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25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25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25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25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25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25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25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25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25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25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25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25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25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25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25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25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25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25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25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25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25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25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25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25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25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25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25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25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25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25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25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25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25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25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25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25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25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25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25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25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25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25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25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25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25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25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25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25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25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25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25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25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25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25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25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25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25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25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25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25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25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25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25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25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25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25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25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25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25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25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25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25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25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25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25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25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25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25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25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25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25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25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25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25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25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25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25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25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25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25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25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25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25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25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25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25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25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25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25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25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25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25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25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25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25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25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25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25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25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25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25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25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25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25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25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25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25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25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25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25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25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25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25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25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25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25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25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25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25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25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25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25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25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25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25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25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25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25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25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25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25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25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25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25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25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25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25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25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25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25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25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25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25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25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25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25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25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25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25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25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25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25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25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25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25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25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25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25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25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25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25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25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25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25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25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25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25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25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25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25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25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25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25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25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25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25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25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25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25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25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25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25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25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25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25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25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25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25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25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25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25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25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25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25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25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25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25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25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25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25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25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25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25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25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25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25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25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25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25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25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25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25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25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25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25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25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25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25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25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25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25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25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25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25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25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25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25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25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25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25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25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25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25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25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25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25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25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25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25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25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25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25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25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25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25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25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25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25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25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25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25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25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25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25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25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25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25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25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25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25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25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25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25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25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25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25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25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25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25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25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25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25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25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25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25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25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25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25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25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25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25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25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25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25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25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25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25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25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25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25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25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25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25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25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25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25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25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25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25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25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25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25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25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25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25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25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25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25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25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25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25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25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25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25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25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25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25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25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25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25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25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25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25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25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25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25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25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25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25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25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25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25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25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25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25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25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25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25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25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25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25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25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25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25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25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25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25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25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25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25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25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25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25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25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25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25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25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25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25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25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25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25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25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25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25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25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25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25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25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25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25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25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25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25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25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25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25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25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25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25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25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25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25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25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25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25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25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25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25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25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25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25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25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25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25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25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25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25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25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25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25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25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25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25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25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25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25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25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25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25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25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25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25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25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25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25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25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25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25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25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25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25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25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25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25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25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25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25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25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25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25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25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25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25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25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25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25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25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25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25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25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25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25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25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25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25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25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25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25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25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25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25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25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25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25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25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25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25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25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25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25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25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25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25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25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25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25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25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25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25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25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25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25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25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25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25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25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25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25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25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25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25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25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25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25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25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25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25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25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25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25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25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25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25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25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25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25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25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25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25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25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25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25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25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25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25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25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25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25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25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25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25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25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25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25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25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25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25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25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25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25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25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25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25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25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25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25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25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25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25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25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25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25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25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25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25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25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25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25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25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25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25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25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25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25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25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25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25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25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25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25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25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25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25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25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25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25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25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25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25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25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25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25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25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25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25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25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25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25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25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25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25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25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25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25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25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25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25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25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25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25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25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25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25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25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25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25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25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25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25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25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25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25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25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25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25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25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25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25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25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25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25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25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25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25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25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25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25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25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25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25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25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25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25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25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25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25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25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25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25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25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25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25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25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25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25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25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25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25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25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25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25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25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25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25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25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25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25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25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25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25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25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25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25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25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25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25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25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25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25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25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25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25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25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25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25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25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25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25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25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25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25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25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25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25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25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25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25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25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25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25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25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25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25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25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25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25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25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25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25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25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25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25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25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25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25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25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25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25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25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25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25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25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25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25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25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25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25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25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25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25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25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25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25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25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25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25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25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25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25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25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25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25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25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25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25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25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25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25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25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25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25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25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25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25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25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25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25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25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25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25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25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25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25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25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25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25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25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25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25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25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25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25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25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25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25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25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25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25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25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25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25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25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25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25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25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25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25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25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25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25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25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25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25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25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25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25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25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25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25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25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25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25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25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25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25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25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25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25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25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25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25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25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25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25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25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25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25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25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25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25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25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25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25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25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25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25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25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25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25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25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25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25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25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25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25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25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25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25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25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25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25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25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25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25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25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25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25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25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25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25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25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25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25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25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25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25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25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25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25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25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25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25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25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25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25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25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25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25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25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25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25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25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25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25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25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25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25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25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25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25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25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25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25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25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25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25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25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25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25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25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25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25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25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25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25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25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25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25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25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25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25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25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25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25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25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25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25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25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25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25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25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25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25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25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25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25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25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25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25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25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25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25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25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25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25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25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25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25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25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25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25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25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25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25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25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25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25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25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25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25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25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25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25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25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25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25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25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25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25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25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25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25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25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25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25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25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25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25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25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25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25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25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25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25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25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25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25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25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25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25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25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25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25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25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25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25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25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25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25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25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25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25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25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25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25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25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25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25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25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25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25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25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25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25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25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25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25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25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25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25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25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25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25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25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25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25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25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25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25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25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25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25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25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25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25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25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25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25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25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25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25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25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25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25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25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25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25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25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25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25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25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25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25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25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25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25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25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25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25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25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25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25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25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25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25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25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25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25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25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25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25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25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25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25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25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25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25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25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25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25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25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25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25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25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25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25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25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25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25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25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25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25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25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25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25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25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25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25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25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25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25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25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25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25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25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25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25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25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25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25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25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25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25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25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25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25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25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25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25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25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25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25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25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25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25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25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25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25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25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25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25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25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25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25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25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25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25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25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25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25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25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25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25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25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25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25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25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25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25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25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25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25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25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25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25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25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25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25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25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25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25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25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25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25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25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25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25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25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25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25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25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25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25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25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25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25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25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25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25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25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25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25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25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25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25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25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25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25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25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25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25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25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25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25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25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25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25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25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25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25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25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25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25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25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25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25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25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25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25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25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25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25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25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25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25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25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25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25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25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25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25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25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25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25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25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25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25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25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25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25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25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25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25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25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25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25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25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25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25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25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25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25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25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25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25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25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25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25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25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25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25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25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25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25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25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25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25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25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25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25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25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25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25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25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25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25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25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25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25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25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25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25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25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25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25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25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25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25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25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25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25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25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25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25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25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25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25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25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25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25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25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25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25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25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25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25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25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25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25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25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25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25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25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25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25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25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25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25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25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25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25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25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25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25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25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25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25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25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25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25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25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25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25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25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25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25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25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25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25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25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25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25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25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25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25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25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25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25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25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25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25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25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25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25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25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25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25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25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25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25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25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25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25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25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25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25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25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25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25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25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25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25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25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25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25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25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25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25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25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25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25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25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25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25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25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25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25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25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25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25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25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25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25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25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25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25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25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25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25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25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25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25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25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25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25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25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25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25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25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25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25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25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25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25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25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25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25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25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25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25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25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25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25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25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25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25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25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25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25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25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25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25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25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25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25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25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25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25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25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25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25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25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25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25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25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25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25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25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25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25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25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25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25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25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25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25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25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25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25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25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25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25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25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25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25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25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25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25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25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25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25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25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25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25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25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25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25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25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25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25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25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25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25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25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25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25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25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25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25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25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25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25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25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25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25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25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25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25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25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25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25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25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25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25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25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25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25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25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25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25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25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25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25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25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25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25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25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25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25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25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25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25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25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25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25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25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25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25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25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25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25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25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25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25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25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25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25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25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25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25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25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25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25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25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25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25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25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25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25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25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25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25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25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25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25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25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25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25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25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25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25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25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25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25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25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25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25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25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25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25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25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25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25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25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25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25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25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25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25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25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25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25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25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25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25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25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25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25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25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25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25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25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25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25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25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25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25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25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25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25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25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25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25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25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25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25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25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25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25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25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25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25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25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25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25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25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25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25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25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25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25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25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25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25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25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25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25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25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25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25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25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25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25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25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25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25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25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25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25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25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25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25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25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25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25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25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25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25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25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25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25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25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25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25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25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25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25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25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25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25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25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25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25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25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25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25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25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25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25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25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25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25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25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25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25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25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25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25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25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25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25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25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25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25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25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25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25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25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25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25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25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25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25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25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25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25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25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25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25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25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25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25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25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25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25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25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25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25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25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25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25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25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25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25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25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25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25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25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25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25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25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25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25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25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25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25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25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25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25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25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25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25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25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25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25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25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25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25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25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25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25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25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25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25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25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25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25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25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25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25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25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25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25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25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25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25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25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25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25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25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25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25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25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25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25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25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25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25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25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25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25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25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25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25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25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25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25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25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25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25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25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25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25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25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25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25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25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25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25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25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25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25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25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25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25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25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25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25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25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25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25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25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25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25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25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25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25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25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25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25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25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25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25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25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25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25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25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25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25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25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25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25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25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25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25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25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25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25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25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25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25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25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25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25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25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25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25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25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25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25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25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25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25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25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25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25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25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25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25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25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25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25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25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25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25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25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25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25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25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25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25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25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25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25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25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25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25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25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25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25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25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25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25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25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25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25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25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25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25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25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25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25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25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25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25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25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25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25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25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25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25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25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25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25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25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25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25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25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25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25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25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25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25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25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25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25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25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25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25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25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25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25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25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25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25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25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25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25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25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25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25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25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25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25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25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25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25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25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25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25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25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25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25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25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25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25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25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25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25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25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25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25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25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25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25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25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25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25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25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25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25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25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25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25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25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25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25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25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25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25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25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25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25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25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25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25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25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25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25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25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25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25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25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25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25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25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25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25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25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25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25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25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25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25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25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25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25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25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25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25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25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25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25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25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25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25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25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25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25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25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25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25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25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25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25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25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25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25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25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25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25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25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25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25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25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25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25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25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25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25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25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25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25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25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25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25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25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25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25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25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25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25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25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25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25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25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25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25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25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25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25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25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25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25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25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25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25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25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25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25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25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25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25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25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25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25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25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25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25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25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25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25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25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25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25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25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25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25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25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25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25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25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25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25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25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25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25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25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25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25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25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25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25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25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25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25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25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25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25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25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25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25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25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25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25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25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25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25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25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25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25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25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25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25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25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25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25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25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25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25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25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25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25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25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25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25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25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25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25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25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25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25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25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25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25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25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25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25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25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25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25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25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25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25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25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25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25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25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25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25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25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25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25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25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25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25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25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25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25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25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25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25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25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25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25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25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25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25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25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25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25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25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25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25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25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25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25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25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25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25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25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25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25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25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25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25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25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25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25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25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25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25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25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25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25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25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25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25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25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25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25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25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25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25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25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25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25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25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25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25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25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25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25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25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25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25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25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25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25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25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25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25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25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25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25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25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25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25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25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25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25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25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25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25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25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25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25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25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25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25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25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25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25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25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25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25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25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25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25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25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25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25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25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25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25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25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25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25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25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25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25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25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25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25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25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25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25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25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25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25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25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25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25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25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25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25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25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25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25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25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25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25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25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25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25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25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25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25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25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25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25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25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25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25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25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25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25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25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25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25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25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25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25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25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25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25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25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25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25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25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25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25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25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25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25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25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25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25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25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25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25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25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25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25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25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25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25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25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25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25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25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25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25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25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25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25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25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25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25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25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25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25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25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25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25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25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25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25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25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25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25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25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25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25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25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25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25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25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25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25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25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25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25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25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25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25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25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25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25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25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25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25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25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25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25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25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25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25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25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25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25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25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25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25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25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25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25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25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25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25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25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25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25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25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25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25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25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25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25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25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25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25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25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25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25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25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25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25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25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25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25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25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25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25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25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25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25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25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25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25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25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25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25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25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25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25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25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25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25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25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25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25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25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25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25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25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25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25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25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25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25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25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25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25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25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25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25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25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25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25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25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25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25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25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25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25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25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25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25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25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25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25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25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25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25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25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25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25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25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25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25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25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25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25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25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25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25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25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25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25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25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25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25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25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25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25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25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25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25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25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25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25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25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25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25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25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25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25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25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25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25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25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25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25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25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25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25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25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25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25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25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25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25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25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25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25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25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25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25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25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25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25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25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25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25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25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25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25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25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25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25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25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25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25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25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25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25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25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25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25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25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25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25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25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25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25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25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25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25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25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25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25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25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25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25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25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25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25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25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25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25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25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25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25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25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25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25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25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25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25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25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25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25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25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25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25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25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25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25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25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25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25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25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25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25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25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25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25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25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25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25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25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25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25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25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25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25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25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25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25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25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25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25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25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25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25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25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25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25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25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25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25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25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25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25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25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25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25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25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25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25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25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25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25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25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25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25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25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25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25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25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25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25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25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25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25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25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25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25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25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25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25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25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25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25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25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25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25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25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25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25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25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25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25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25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25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25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25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25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25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25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25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25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25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25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25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25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25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25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25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25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25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25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25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25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25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25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25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25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25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25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25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25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25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25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25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25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25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25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25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25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25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25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25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25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25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25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25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25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25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25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25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25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25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25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25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25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25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25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25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25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25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25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25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25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25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25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25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25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25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25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25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25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25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25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25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25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25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25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25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25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25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25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25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25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25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25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25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25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25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25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25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25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25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25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25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25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25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25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25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25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25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25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25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25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25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25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25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25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25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25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25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25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25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25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25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25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25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25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25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25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25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25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25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25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25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25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25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25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25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25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25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25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25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25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25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25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25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25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25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25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25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25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25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25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25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25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25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25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25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25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25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25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25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25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25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25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25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25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25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25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25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25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25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25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25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25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25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25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25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25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25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25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25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25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25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25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25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25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25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25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25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25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25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25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25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25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25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25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25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25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25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25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25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25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25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25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25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25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25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25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25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25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25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25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25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25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25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25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25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25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25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25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25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25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25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25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25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25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25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25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25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25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25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25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25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25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25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25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25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25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25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25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25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25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25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25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25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25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25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25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25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25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25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25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25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25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25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25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25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25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25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25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25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25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25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25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25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25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25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25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25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25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25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25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25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25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25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25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25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25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25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25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25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25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25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25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25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25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25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25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25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25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25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25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25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25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25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25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25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25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25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25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25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25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25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25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25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25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25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25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25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25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25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25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25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25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25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25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25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25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25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25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25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25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25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25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25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25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25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25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25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25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25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25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25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25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25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25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25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25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25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25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25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25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25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25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25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25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25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25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25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25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25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25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25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25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25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25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25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25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25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25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25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25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25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25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25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25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25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25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25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25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25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25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25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25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25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25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25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25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25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25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25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25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25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25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25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25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25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25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25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25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25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25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BB2:BB24008">
    <sortCondition ref="BB2:BB24008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M159"/>
  <sheetViews>
    <sheetView workbookViewId="0">
      <selection activeCell="F2" sqref="F2"/>
    </sheetView>
  </sheetViews>
  <sheetFormatPr defaultRowHeight="16.5" x14ac:dyDescent="0.25"/>
  <sheetData>
    <row r="1" spans="1:39" x14ac:dyDescent="0.25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  <c r="AG1">
        <v>202</v>
      </c>
      <c r="AH1">
        <f>AG1/MAX($AG$1:$AG$156)</f>
        <v>1</v>
      </c>
      <c r="AI1">
        <f>LOG(AG1)</f>
        <v>2.3053513694466239</v>
      </c>
    </row>
    <row r="2" spans="1:39" x14ac:dyDescent="0.25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  <c r="AG2">
        <v>187</v>
      </c>
      <c r="AH2">
        <f t="shared" ref="AH2:AH65" si="8">AG2/MAX($AG$1:$AG$156)</f>
        <v>0.92574257425742579</v>
      </c>
      <c r="AI2">
        <f t="shared" ref="AI2:AI65" si="9">LOG(AG2)</f>
        <v>2.271841606536499</v>
      </c>
      <c r="AJ2">
        <f>$AH$1-AH2</f>
        <v>7.4257425742574212E-2</v>
      </c>
      <c r="AK2">
        <f>SUM($AJ$2:AJ2)</f>
        <v>7.4257425742574212E-2</v>
      </c>
      <c r="AL2">
        <f>AK2/AM2</f>
        <v>7.4257425742574212E-2</v>
      </c>
      <c r="AM2">
        <v>1</v>
      </c>
    </row>
    <row r="3" spans="1:39" x14ac:dyDescent="0.25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10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11">K2-K3</f>
        <v>0.17896211074145807</v>
      </c>
      <c r="M3">
        <f>SUM($L$2:L3)</f>
        <v>0.2176681706744259</v>
      </c>
      <c r="N3">
        <f t="shared" ref="N3:N20" si="12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3">$S$1-S3</f>
        <v>6.3840373000827455E-3</v>
      </c>
      <c r="U3">
        <f>SUM($T$2:T3)</f>
        <v>1.2012122308508566E-2</v>
      </c>
      <c r="V3">
        <f t="shared" ref="V3:V62" si="14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5">$AA$1-AA3</f>
        <v>5.2327880355316214E-2</v>
      </c>
      <c r="AC3">
        <f>SUM($AB$2:AB3)</f>
        <v>5.3895732173294242E-2</v>
      </c>
      <c r="AD3">
        <f t="shared" ref="AD3:AD66" si="16">AC3/AE3</f>
        <v>2.6947866086647121E-2</v>
      </c>
      <c r="AE3">
        <v>2</v>
      </c>
      <c r="AG3">
        <v>185</v>
      </c>
      <c r="AH3">
        <f t="shared" si="8"/>
        <v>0.91584158415841588</v>
      </c>
      <c r="AI3">
        <f t="shared" si="9"/>
        <v>2.2671717284030137</v>
      </c>
      <c r="AJ3">
        <f t="shared" ref="AJ3:AJ66" si="17">$AH$1-AH3</f>
        <v>8.4158415841584122E-2</v>
      </c>
      <c r="AK3">
        <f>SUM($AJ$2:AJ3)</f>
        <v>0.15841584158415833</v>
      </c>
      <c r="AL3">
        <f t="shared" ref="AL3:AL66" si="18">AK3/AM3</f>
        <v>7.9207920792079167E-2</v>
      </c>
      <c r="AM3">
        <v>2</v>
      </c>
    </row>
    <row r="4" spans="1:39" x14ac:dyDescent="0.25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9">C3-C4</f>
        <v>2.8678972403560543E-2</v>
      </c>
      <c r="E4">
        <f>SUM($D$2:D4)</f>
        <v>0.6145835674157083</v>
      </c>
      <c r="F4">
        <f t="shared" si="10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11"/>
        <v>1.4425390577299968E-2</v>
      </c>
      <c r="M4">
        <f>SUM($L$2:L4)</f>
        <v>0.23209356125172587</v>
      </c>
      <c r="N4">
        <f t="shared" si="12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3"/>
        <v>1.4016825714714187E-2</v>
      </c>
      <c r="U4">
        <f>SUM($T$2:T4)</f>
        <v>2.6028948023222753E-2</v>
      </c>
      <c r="V4">
        <f t="shared" si="14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5"/>
        <v>8.8194781109844467E-2</v>
      </c>
      <c r="AC4">
        <f>SUM($AB$2:AB4)</f>
        <v>0.14209051328313871</v>
      </c>
      <c r="AD4">
        <f t="shared" si="16"/>
        <v>4.7363504427712901E-2</v>
      </c>
      <c r="AE4">
        <v>3</v>
      </c>
      <c r="AG4">
        <v>182</v>
      </c>
      <c r="AH4">
        <f t="shared" si="8"/>
        <v>0.90099009900990101</v>
      </c>
      <c r="AI4">
        <f t="shared" si="9"/>
        <v>2.2600713879850747</v>
      </c>
      <c r="AJ4">
        <f t="shared" si="17"/>
        <v>9.9009900990098987E-2</v>
      </c>
      <c r="AK4">
        <f>SUM($AJ$2:AJ4)</f>
        <v>0.25742574257425732</v>
      </c>
      <c r="AL4">
        <f t="shared" si="18"/>
        <v>8.5808580858085778E-2</v>
      </c>
      <c r="AM4">
        <v>3</v>
      </c>
    </row>
    <row r="5" spans="1:39" x14ac:dyDescent="0.25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9"/>
        <v>0.34696399282407953</v>
      </c>
      <c r="E5">
        <f>SUM($D$2:D5)</f>
        <v>0.96154756023978782</v>
      </c>
      <c r="F5">
        <f t="shared" si="10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11"/>
        <v>0.35149379570830463</v>
      </c>
      <c r="M5">
        <f>SUM($L$2:L5)</f>
        <v>0.5835873569600305</v>
      </c>
      <c r="N5">
        <f t="shared" si="12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3"/>
        <v>2.3750412921847097E-2</v>
      </c>
      <c r="U5">
        <f>SUM($T$2:T5)</f>
        <v>4.977936094506985E-2</v>
      </c>
      <c r="V5">
        <f t="shared" si="14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5"/>
        <v>0.1231167013476413</v>
      </c>
      <c r="AC5">
        <f>SUM($AB$2:AB5)</f>
        <v>0.26520721463078001</v>
      </c>
      <c r="AD5">
        <f t="shared" si="16"/>
        <v>6.6301803657695002E-2</v>
      </c>
      <c r="AE5">
        <v>4</v>
      </c>
      <c r="AG5">
        <v>177</v>
      </c>
      <c r="AH5">
        <f t="shared" si="8"/>
        <v>0.87623762376237624</v>
      </c>
      <c r="AI5">
        <f t="shared" si="9"/>
        <v>2.2479732663618068</v>
      </c>
      <c r="AJ5">
        <f t="shared" si="17"/>
        <v>0.12376237623762376</v>
      </c>
      <c r="AK5">
        <f>SUM($AJ$2:AJ5)</f>
        <v>0.38118811881188108</v>
      </c>
      <c r="AL5">
        <f t="shared" si="18"/>
        <v>9.5297029702970271E-2</v>
      </c>
      <c r="AM5">
        <v>4</v>
      </c>
    </row>
    <row r="6" spans="1:39" x14ac:dyDescent="0.25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9"/>
        <v>0.30536706239435363</v>
      </c>
      <c r="E6">
        <f>SUM($D$2:D6)</f>
        <v>1.2669146226341415</v>
      </c>
      <c r="F6">
        <f t="shared" si="10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11"/>
        <v>0.45069031591721487</v>
      </c>
      <c r="M6">
        <f>SUM($L$2:L6)</f>
        <v>1.0342776728772454</v>
      </c>
      <c r="N6">
        <f t="shared" si="12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3"/>
        <v>3.2098664591487136E-2</v>
      </c>
      <c r="U6">
        <f>SUM($T$2:T6)</f>
        <v>8.1878025536556986E-2</v>
      </c>
      <c r="V6">
        <f t="shared" si="14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5"/>
        <v>0.13045116124660705</v>
      </c>
      <c r="AC6">
        <f>SUM($AB$2:AB6)</f>
        <v>0.39565837587738706</v>
      </c>
      <c r="AD6">
        <f t="shared" si="16"/>
        <v>7.9131675175477409E-2</v>
      </c>
      <c r="AE6">
        <v>5</v>
      </c>
      <c r="AG6">
        <v>174</v>
      </c>
      <c r="AH6">
        <f t="shared" si="8"/>
        <v>0.86138613861386137</v>
      </c>
      <c r="AI6">
        <f t="shared" si="9"/>
        <v>2.2405492482825999</v>
      </c>
      <c r="AJ6">
        <f t="shared" si="17"/>
        <v>0.13861386138613863</v>
      </c>
      <c r="AK6">
        <f>SUM($AJ$2:AJ6)</f>
        <v>0.51980198019801971</v>
      </c>
      <c r="AL6">
        <f t="shared" si="18"/>
        <v>0.10396039603960394</v>
      </c>
      <c r="AM6">
        <v>5</v>
      </c>
    </row>
    <row r="7" spans="1:39" x14ac:dyDescent="0.25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9"/>
        <v>0.28089866175037681</v>
      </c>
      <c r="E7">
        <f>SUM($D$2:D7)</f>
        <v>1.5478132843845183</v>
      </c>
      <c r="F7">
        <f t="shared" si="10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11"/>
        <v>0.27457766029869246</v>
      </c>
      <c r="M7">
        <f>SUM($L$2:L7)</f>
        <v>1.3088553331759378</v>
      </c>
      <c r="N7">
        <f t="shared" si="12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3"/>
        <v>4.3073465728326266E-2</v>
      </c>
      <c r="U7">
        <f>SUM($T$2:T7)</f>
        <v>0.12495149126488325</v>
      </c>
      <c r="V7">
        <f t="shared" si="14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5"/>
        <v>0.14114861050249417</v>
      </c>
      <c r="AC7">
        <f>SUM($AB$2:AB7)</f>
        <v>0.53680698637988122</v>
      </c>
      <c r="AD7">
        <f t="shared" si="16"/>
        <v>8.9467831063313533E-2</v>
      </c>
      <c r="AE7">
        <v>6</v>
      </c>
      <c r="AG7">
        <v>169</v>
      </c>
      <c r="AH7">
        <f t="shared" si="8"/>
        <v>0.8366336633663366</v>
      </c>
      <c r="AI7">
        <f t="shared" si="9"/>
        <v>2.2278867046136734</v>
      </c>
      <c r="AJ7">
        <f t="shared" si="17"/>
        <v>0.1633663366336634</v>
      </c>
      <c r="AK7">
        <f>SUM($AJ$2:AJ7)</f>
        <v>0.68316831683168311</v>
      </c>
      <c r="AL7">
        <f t="shared" si="18"/>
        <v>0.11386138613861385</v>
      </c>
      <c r="AM7">
        <v>6</v>
      </c>
    </row>
    <row r="8" spans="1:39" x14ac:dyDescent="0.25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9"/>
        <v>0.1745806680304427</v>
      </c>
      <c r="E8">
        <f>SUM($D$2:D8)</f>
        <v>1.722393952414961</v>
      </c>
      <c r="F8">
        <f t="shared" si="10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11"/>
        <v>0.21101790196467451</v>
      </c>
      <c r="M8">
        <f>SUM($L$2:L8)</f>
        <v>1.5198732351406123</v>
      </c>
      <c r="N8">
        <f t="shared" si="12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3"/>
        <v>5.9432217414137067E-2</v>
      </c>
      <c r="U8">
        <f>SUM($T$2:T8)</f>
        <v>0.18438370867902032</v>
      </c>
      <c r="V8">
        <f t="shared" si="14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5"/>
        <v>0.14223299179471383</v>
      </c>
      <c r="AC8">
        <f>SUM($AB$2:AB8)</f>
        <v>0.67903997817459505</v>
      </c>
      <c r="AD8">
        <f t="shared" si="16"/>
        <v>9.7005711167799297E-2</v>
      </c>
      <c r="AE8">
        <v>7</v>
      </c>
      <c r="AG8">
        <v>166</v>
      </c>
      <c r="AH8">
        <f t="shared" si="8"/>
        <v>0.82178217821782173</v>
      </c>
      <c r="AI8">
        <f t="shared" si="9"/>
        <v>2.220108088040055</v>
      </c>
      <c r="AJ8">
        <f t="shared" si="17"/>
        <v>0.17821782178217827</v>
      </c>
      <c r="AK8">
        <f>SUM($AJ$2:AJ8)</f>
        <v>0.86138613861386137</v>
      </c>
      <c r="AL8">
        <f t="shared" si="18"/>
        <v>0.12305516265912306</v>
      </c>
      <c r="AM8">
        <v>7</v>
      </c>
    </row>
    <row r="9" spans="1:39" x14ac:dyDescent="0.25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9"/>
        <v>0.18639121569549344</v>
      </c>
      <c r="E9">
        <f>SUM($D$2:D9)</f>
        <v>1.9087851681104544</v>
      </c>
      <c r="F9">
        <f t="shared" si="10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11"/>
        <v>0.25827801524303151</v>
      </c>
      <c r="M9">
        <f>SUM($L$2:L9)</f>
        <v>1.7781512503836439</v>
      </c>
      <c r="N9">
        <f t="shared" si="12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3"/>
        <v>6.7195384074666631E-2</v>
      </c>
      <c r="U9">
        <f>SUM($T$2:T9)</f>
        <v>0.25157909275368695</v>
      </c>
      <c r="V9">
        <f t="shared" si="14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5"/>
        <v>0.14223299179471383</v>
      </c>
      <c r="AC9">
        <f>SUM($AB$2:AB9)</f>
        <v>0.82127296996930887</v>
      </c>
      <c r="AD9">
        <f t="shared" si="16"/>
        <v>0.10265912124616361</v>
      </c>
      <c r="AE9">
        <v>8</v>
      </c>
      <c r="AG9">
        <v>165</v>
      </c>
      <c r="AH9">
        <f t="shared" si="8"/>
        <v>0.81683168316831678</v>
      </c>
      <c r="AI9">
        <f t="shared" si="9"/>
        <v>2.2174839442139063</v>
      </c>
      <c r="AJ9">
        <f t="shared" si="17"/>
        <v>0.18316831683168322</v>
      </c>
      <c r="AK9">
        <f>SUM($AJ$2:AJ9)</f>
        <v>1.0445544554455446</v>
      </c>
      <c r="AL9">
        <f t="shared" si="18"/>
        <v>0.13056930693069307</v>
      </c>
      <c r="AM9">
        <v>8</v>
      </c>
    </row>
    <row r="10" spans="1:39" x14ac:dyDescent="0.25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9"/>
        <v>0.21609642072726487</v>
      </c>
      <c r="E10">
        <f>SUM($D$2:D10)</f>
        <v>2.1248815888377193</v>
      </c>
      <c r="F10">
        <f t="shared" si="10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11"/>
        <v>0.42596873227228094</v>
      </c>
      <c r="M10">
        <f>SUM($L$2:L10)</f>
        <v>2.204119982655925</v>
      </c>
      <c r="N10">
        <f t="shared" si="12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3"/>
        <v>9.2736301934780663E-2</v>
      </c>
      <c r="U10">
        <f>SUM($T$2:T10)</f>
        <v>0.34431539468846761</v>
      </c>
      <c r="V10">
        <f t="shared" si="14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5"/>
        <v>0.14223299179471383</v>
      </c>
      <c r="AC10">
        <f>SUM($AB$2:AB10)</f>
        <v>0.9635059617640227</v>
      </c>
      <c r="AD10">
        <f t="shared" si="16"/>
        <v>0.1070562179737803</v>
      </c>
      <c r="AE10">
        <v>9</v>
      </c>
      <c r="AG10">
        <v>164</v>
      </c>
      <c r="AH10">
        <f t="shared" si="8"/>
        <v>0.81188118811881194</v>
      </c>
      <c r="AI10">
        <f t="shared" si="9"/>
        <v>2.214843848047698</v>
      </c>
      <c r="AJ10">
        <f t="shared" si="17"/>
        <v>0.18811881188118806</v>
      </c>
      <c r="AK10">
        <f>SUM($AJ$2:AJ10)</f>
        <v>1.2326732673267327</v>
      </c>
      <c r="AL10">
        <f t="shared" si="18"/>
        <v>0.13696369636963696</v>
      </c>
      <c r="AM10">
        <v>9</v>
      </c>
    </row>
    <row r="11" spans="1:39" x14ac:dyDescent="0.25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9"/>
        <v>8.1473042827209685E-2</v>
      </c>
      <c r="E11">
        <f>SUM($D$2:D11)</f>
        <v>2.206354631664929</v>
      </c>
      <c r="F11">
        <f t="shared" si="10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11"/>
        <v>0.41912930774197577</v>
      </c>
      <c r="M11">
        <f>SUM($L$2:L11)</f>
        <v>2.6232492903979008</v>
      </c>
      <c r="N11">
        <f t="shared" si="12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3"/>
        <v>0.1063310870336216</v>
      </c>
      <c r="U11">
        <f>SUM($T$2:T11)</f>
        <v>0.45064648172208921</v>
      </c>
      <c r="V11">
        <f t="shared" si="14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5"/>
        <v>0.14659779719716415</v>
      </c>
      <c r="AC11">
        <f>SUM($AB$2:AB11)</f>
        <v>1.1101037589611868</v>
      </c>
      <c r="AD11">
        <f t="shared" si="16"/>
        <v>0.11101037589611869</v>
      </c>
      <c r="AE11">
        <v>10</v>
      </c>
      <c r="AG11">
        <v>161</v>
      </c>
      <c r="AH11">
        <f t="shared" si="8"/>
        <v>0.79702970297029707</v>
      </c>
      <c r="AI11">
        <f t="shared" si="9"/>
        <v>2.2068258760318495</v>
      </c>
      <c r="AJ11">
        <f t="shared" si="17"/>
        <v>0.20297029702970293</v>
      </c>
      <c r="AK11">
        <f>SUM($AJ$2:AJ11)</f>
        <v>1.4356435643564356</v>
      </c>
      <c r="AL11">
        <f t="shared" si="18"/>
        <v>0.14356435643564355</v>
      </c>
      <c r="AM11">
        <v>10</v>
      </c>
    </row>
    <row r="12" spans="1:39" x14ac:dyDescent="0.25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9"/>
        <v>0.13658271777200759</v>
      </c>
      <c r="E12">
        <f>SUM($D$2:D12)</f>
        <v>2.3429373494369363</v>
      </c>
      <c r="F12">
        <f t="shared" si="10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11"/>
        <v>2.8028723600243444E-2</v>
      </c>
      <c r="M12">
        <f>SUM($L$2:L12)</f>
        <v>2.6512780139981444</v>
      </c>
      <c r="N12">
        <f t="shared" si="12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3"/>
        <v>0.10728453304094421</v>
      </c>
      <c r="U12">
        <f>SUM($T$2:T12)</f>
        <v>0.55793101476303342</v>
      </c>
      <c r="V12">
        <f t="shared" si="14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5"/>
        <v>0.14990043274724973</v>
      </c>
      <c r="AC12">
        <f>SUM($AB$2:AB12)</f>
        <v>1.2600041917084366</v>
      </c>
      <c r="AD12">
        <f t="shared" si="16"/>
        <v>0.11454583560985787</v>
      </c>
      <c r="AE12">
        <v>11</v>
      </c>
      <c r="AG12">
        <v>159</v>
      </c>
      <c r="AH12">
        <f t="shared" si="8"/>
        <v>0.78712871287128716</v>
      </c>
      <c r="AI12">
        <f t="shared" si="9"/>
        <v>2.2013971243204513</v>
      </c>
      <c r="AJ12">
        <f t="shared" si="17"/>
        <v>0.21287128712871284</v>
      </c>
      <c r="AK12">
        <f>SUM($AJ$2:AJ12)</f>
        <v>1.6485148514851484</v>
      </c>
      <c r="AL12">
        <f t="shared" si="18"/>
        <v>0.14986498649864985</v>
      </c>
      <c r="AM12">
        <v>11</v>
      </c>
    </row>
    <row r="13" spans="1:39" x14ac:dyDescent="0.25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9"/>
        <v>9.455610761457911E-2</v>
      </c>
      <c r="E13">
        <f>SUM($D$2:D13)</f>
        <v>2.4374934570515157</v>
      </c>
      <c r="F13">
        <f t="shared" si="10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11"/>
        <v>6.2147906748844628E-2</v>
      </c>
      <c r="M13">
        <f>SUM($L$2:L13)</f>
        <v>2.7134259207469889</v>
      </c>
      <c r="N13">
        <f t="shared" si="12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3"/>
        <v>0.13946921641234544</v>
      </c>
      <c r="U13">
        <f>SUM($T$2:T13)</f>
        <v>0.69740023117537886</v>
      </c>
      <c r="V13">
        <f t="shared" si="14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5"/>
        <v>0.15100691610221917</v>
      </c>
      <c r="AC13">
        <f>SUM($AB$2:AB13)</f>
        <v>1.4110111078106558</v>
      </c>
      <c r="AD13">
        <f t="shared" si="16"/>
        <v>0.11758425898422131</v>
      </c>
      <c r="AE13">
        <v>12</v>
      </c>
      <c r="AG13">
        <v>156</v>
      </c>
      <c r="AH13">
        <f t="shared" si="8"/>
        <v>0.7722772277227723</v>
      </c>
      <c r="AI13">
        <f t="shared" si="9"/>
        <v>2.1931245983544616</v>
      </c>
      <c r="AJ13">
        <f t="shared" si="17"/>
        <v>0.2277227722772277</v>
      </c>
      <c r="AK13">
        <f>SUM($AJ$2:AJ13)</f>
        <v>1.8762376237623761</v>
      </c>
      <c r="AL13">
        <f t="shared" si="18"/>
        <v>0.15635313531353134</v>
      </c>
      <c r="AM13">
        <v>12</v>
      </c>
    </row>
    <row r="14" spans="1:39" x14ac:dyDescent="0.25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9"/>
        <v>0.1058037261680389</v>
      </c>
      <c r="E14">
        <f>SUM($D$2:D14)</f>
        <v>2.5432971832195546</v>
      </c>
      <c r="F14">
        <f t="shared" si="10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11"/>
        <v>0.11394335230683672</v>
      </c>
      <c r="M14">
        <f>SUM($L$2:L14)</f>
        <v>2.8273692730538258</v>
      </c>
      <c r="N14">
        <f t="shared" si="12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3"/>
        <v>0.15945239063996741</v>
      </c>
      <c r="U14">
        <f>SUM($T$2:T14)</f>
        <v>0.85685262181534627</v>
      </c>
      <c r="V14">
        <f t="shared" si="14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5"/>
        <v>0.15770567845092121</v>
      </c>
      <c r="AC14">
        <f>SUM($AB$2:AB14)</f>
        <v>1.568716786261577</v>
      </c>
      <c r="AD14">
        <f t="shared" si="16"/>
        <v>0.12067052202012131</v>
      </c>
      <c r="AE14">
        <v>13</v>
      </c>
      <c r="AG14">
        <v>155</v>
      </c>
      <c r="AH14">
        <f t="shared" si="8"/>
        <v>0.76732673267326734</v>
      </c>
      <c r="AI14">
        <f t="shared" si="9"/>
        <v>2.1903316981702914</v>
      </c>
      <c r="AJ14">
        <f t="shared" si="17"/>
        <v>0.23267326732673266</v>
      </c>
      <c r="AK14">
        <f>SUM($AJ$2:AJ14)</f>
        <v>2.108910891089109</v>
      </c>
      <c r="AL14">
        <f t="shared" si="18"/>
        <v>0.16222391469916222</v>
      </c>
      <c r="AM14">
        <v>13</v>
      </c>
    </row>
    <row r="15" spans="1:39" x14ac:dyDescent="0.25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9"/>
        <v>0.18364439694612722</v>
      </c>
      <c r="E15">
        <f>SUM($D$2:D15)</f>
        <v>2.7269415801656818</v>
      </c>
      <c r="F15">
        <f t="shared" si="10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11"/>
        <v>0.30102999566398114</v>
      </c>
      <c r="M15">
        <f>SUM($L$2:L15)</f>
        <v>3.128399268717807</v>
      </c>
      <c r="N15">
        <f t="shared" si="12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3"/>
        <v>0.16432303401130799</v>
      </c>
      <c r="U15">
        <f>SUM($T$2:T15)</f>
        <v>1.0211756558266543</v>
      </c>
      <c r="V15">
        <f t="shared" si="14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5"/>
        <v>0.16222962021096743</v>
      </c>
      <c r="AC15">
        <f>SUM($AB$2:AB15)</f>
        <v>1.7309464064725444</v>
      </c>
      <c r="AD15">
        <f t="shared" si="16"/>
        <v>0.12363902903375316</v>
      </c>
      <c r="AE15">
        <v>14</v>
      </c>
      <c r="AG15">
        <v>154</v>
      </c>
      <c r="AH15">
        <f t="shared" si="8"/>
        <v>0.76237623762376239</v>
      </c>
      <c r="AI15">
        <f t="shared" si="9"/>
        <v>2.1875207208364631</v>
      </c>
      <c r="AJ15">
        <f t="shared" si="17"/>
        <v>0.23762376237623761</v>
      </c>
      <c r="AK15">
        <f>SUM($AJ$2:AJ15)</f>
        <v>2.3465346534653468</v>
      </c>
      <c r="AL15">
        <f t="shared" si="18"/>
        <v>0.16760961810466762</v>
      </c>
      <c r="AM15">
        <v>14</v>
      </c>
    </row>
    <row r="16" spans="1:39" x14ac:dyDescent="0.25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9"/>
        <v>0</v>
      </c>
      <c r="E16">
        <f>SUM($D$2:D16)</f>
        <v>2.7269415801656818</v>
      </c>
      <c r="F16">
        <f t="shared" si="10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11"/>
        <v>9.6910013008056461E-2</v>
      </c>
      <c r="M16">
        <f>SUM($L$2:L16)</f>
        <v>3.2253092817258633</v>
      </c>
      <c r="N16">
        <f t="shared" si="12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3"/>
        <v>0.21201988356095702</v>
      </c>
      <c r="U16">
        <f>SUM($T$2:T16)</f>
        <v>1.2331955393876113</v>
      </c>
      <c r="V16">
        <f t="shared" si="14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5"/>
        <v>0.16222962021096743</v>
      </c>
      <c r="AC16">
        <f>SUM($AB$2:AB16)</f>
        <v>1.8931760266835118</v>
      </c>
      <c r="AD16">
        <f t="shared" si="16"/>
        <v>0.12621173511223413</v>
      </c>
      <c r="AE16">
        <v>15</v>
      </c>
      <c r="AG16">
        <v>152</v>
      </c>
      <c r="AH16">
        <f t="shared" si="8"/>
        <v>0.75247524752475248</v>
      </c>
      <c r="AI16">
        <f t="shared" si="9"/>
        <v>2.1818435879447726</v>
      </c>
      <c r="AJ16">
        <f t="shared" si="17"/>
        <v>0.24752475247524752</v>
      </c>
      <c r="AK16">
        <f>SUM($AJ$2:AJ16)</f>
        <v>2.5940594059405946</v>
      </c>
      <c r="AL16">
        <f t="shared" si="18"/>
        <v>0.17293729372937297</v>
      </c>
      <c r="AM16">
        <v>15</v>
      </c>
    </row>
    <row r="17" spans="1:39" x14ac:dyDescent="0.25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9"/>
        <v>4.8304679574554976E-2</v>
      </c>
      <c r="E17">
        <f>SUM($D$2:D17)</f>
        <v>2.7752462597402365</v>
      </c>
      <c r="F17">
        <f t="shared" si="10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11"/>
        <v>0</v>
      </c>
      <c r="M17">
        <f>SUM($L$2:L17)</f>
        <v>3.2253092817258633</v>
      </c>
      <c r="N17">
        <f t="shared" si="12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3"/>
        <v>0.23509623149497427</v>
      </c>
      <c r="U17">
        <f>SUM($T$2:T17)</f>
        <v>1.4682917708825856</v>
      </c>
      <c r="V17">
        <f t="shared" si="14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5"/>
        <v>0.16336800744705693</v>
      </c>
      <c r="AC17">
        <f>SUM($AB$2:AB17)</f>
        <v>2.0565440341305687</v>
      </c>
      <c r="AD17">
        <f t="shared" si="16"/>
        <v>0.12853400213316055</v>
      </c>
      <c r="AE17">
        <v>16</v>
      </c>
      <c r="AG17">
        <v>151</v>
      </c>
      <c r="AH17">
        <f t="shared" si="8"/>
        <v>0.74752475247524752</v>
      </c>
      <c r="AI17">
        <f t="shared" si="9"/>
        <v>2.1789769472931693</v>
      </c>
      <c r="AJ17">
        <f t="shared" si="17"/>
        <v>0.25247524752475248</v>
      </c>
      <c r="AK17">
        <f>SUM($AJ$2:AJ17)</f>
        <v>2.8465346534653468</v>
      </c>
      <c r="AL17">
        <f t="shared" si="18"/>
        <v>0.17790841584158418</v>
      </c>
      <c r="AM17">
        <v>16</v>
      </c>
    </row>
    <row r="18" spans="1:39" x14ac:dyDescent="0.25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9"/>
        <v>0.32735893438633035</v>
      </c>
      <c r="E18">
        <f>SUM($D$2:D18)</f>
        <v>3.1026051941265669</v>
      </c>
      <c r="F18">
        <f t="shared" si="10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11"/>
        <v>0.6020599913279624</v>
      </c>
      <c r="M18">
        <f>SUM($L$2:L18)</f>
        <v>3.8273692730538258</v>
      </c>
      <c r="N18">
        <f t="shared" si="12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3"/>
        <v>0.25676621072677008</v>
      </c>
      <c r="U18">
        <f>SUM($T$2:T18)</f>
        <v>1.7250579816093556</v>
      </c>
      <c r="V18">
        <f t="shared" si="14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5"/>
        <v>0.17258415131398852</v>
      </c>
      <c r="AC18">
        <f>SUM($AB$2:AB18)</f>
        <v>2.2291281854445573</v>
      </c>
      <c r="AD18">
        <f t="shared" si="16"/>
        <v>0.1311251873790916</v>
      </c>
      <c r="AE18">
        <v>17</v>
      </c>
      <c r="AG18">
        <v>150</v>
      </c>
      <c r="AH18">
        <f t="shared" si="8"/>
        <v>0.74257425742574257</v>
      </c>
      <c r="AI18">
        <f t="shared" si="9"/>
        <v>2.1760912590556813</v>
      </c>
      <c r="AJ18">
        <f t="shared" si="17"/>
        <v>0.25742574257425743</v>
      </c>
      <c r="AK18">
        <f>SUM($AJ$2:AJ18)</f>
        <v>3.1039603960396045</v>
      </c>
      <c r="AL18">
        <f t="shared" si="18"/>
        <v>0.18258590564938851</v>
      </c>
      <c r="AM18">
        <v>17</v>
      </c>
    </row>
    <row r="19" spans="1:39" x14ac:dyDescent="0.25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9"/>
        <v>0</v>
      </c>
      <c r="E19">
        <f>SUM($D$2:D19)</f>
        <v>3.1026051941265669</v>
      </c>
      <c r="F19">
        <f t="shared" si="10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11"/>
        <v>0</v>
      </c>
      <c r="M19">
        <f>SUM($L$2:L19)</f>
        <v>3.8273692730538258</v>
      </c>
      <c r="N19">
        <f t="shared" si="12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3"/>
        <v>0.29768782411442318</v>
      </c>
      <c r="U19">
        <f>SUM($T$2:T19)</f>
        <v>2.0227458057237788</v>
      </c>
      <c r="V19">
        <f t="shared" si="14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5"/>
        <v>0.17726661696361612</v>
      </c>
      <c r="AC19">
        <f>SUM($AB$2:AB19)</f>
        <v>2.4063948024081734</v>
      </c>
      <c r="AD19">
        <f t="shared" si="16"/>
        <v>0.13368860013378742</v>
      </c>
      <c r="AE19">
        <v>18</v>
      </c>
      <c r="AG19">
        <v>149</v>
      </c>
      <c r="AH19">
        <f t="shared" si="8"/>
        <v>0.73762376237623761</v>
      </c>
      <c r="AI19">
        <f t="shared" si="9"/>
        <v>2.173186268412274</v>
      </c>
      <c r="AJ19">
        <f t="shared" si="17"/>
        <v>0.26237623762376239</v>
      </c>
      <c r="AK19">
        <f>SUM($AJ$2:AJ19)</f>
        <v>3.3663366336633667</v>
      </c>
      <c r="AL19">
        <f t="shared" si="18"/>
        <v>0.18701870187018704</v>
      </c>
      <c r="AM19">
        <v>18</v>
      </c>
    </row>
    <row r="20" spans="1:39" x14ac:dyDescent="0.25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9"/>
        <v>5.7991946977686726E-2</v>
      </c>
      <c r="E20">
        <f>SUM($D$2:D20)</f>
        <v>3.1605971411042537</v>
      </c>
      <c r="F20">
        <f t="shared" si="10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11"/>
        <v>0</v>
      </c>
      <c r="M20">
        <f>SUM($L$2:L20)</f>
        <v>3.8273692730538258</v>
      </c>
      <c r="N20">
        <f t="shared" si="12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3"/>
        <v>0.33232663882365054</v>
      </c>
      <c r="U20">
        <f>SUM($T$2:T20)</f>
        <v>2.3550724445474294</v>
      </c>
      <c r="V20">
        <f t="shared" si="14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5"/>
        <v>0.17726661696361612</v>
      </c>
      <c r="AC20">
        <f>SUM($AB$2:AB20)</f>
        <v>2.5836614193717895</v>
      </c>
      <c r="AD20">
        <f t="shared" si="16"/>
        <v>0.13598217996693629</v>
      </c>
      <c r="AE20">
        <v>19</v>
      </c>
      <c r="AG20">
        <v>148</v>
      </c>
      <c r="AH20">
        <f t="shared" si="8"/>
        <v>0.73267326732673266</v>
      </c>
      <c r="AI20">
        <f t="shared" si="9"/>
        <v>2.1702617153949575</v>
      </c>
      <c r="AJ20">
        <f t="shared" si="17"/>
        <v>0.26732673267326734</v>
      </c>
      <c r="AK20">
        <f>SUM($AJ$2:AJ20)</f>
        <v>3.6336633663366342</v>
      </c>
      <c r="AL20">
        <f t="shared" si="18"/>
        <v>0.19124544033350707</v>
      </c>
      <c r="AM20">
        <v>19</v>
      </c>
    </row>
    <row r="21" spans="1:39" x14ac:dyDescent="0.25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9"/>
        <v>6.6946789630613179E-2</v>
      </c>
      <c r="E21">
        <f>SUM($D$2:D21)</f>
        <v>3.2275439307348668</v>
      </c>
      <c r="F21">
        <f t="shared" si="10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3"/>
        <v>0.3841808489882057</v>
      </c>
      <c r="U21">
        <f>SUM($T$2:T21)</f>
        <v>2.7392532935356351</v>
      </c>
      <c r="V21">
        <f t="shared" si="14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5"/>
        <v>0.1784451644491587</v>
      </c>
      <c r="AC21">
        <f>SUM($AB$2:AB21)</f>
        <v>2.7621065838209482</v>
      </c>
      <c r="AD21">
        <f t="shared" si="16"/>
        <v>0.1381053291910474</v>
      </c>
      <c r="AE21">
        <v>20</v>
      </c>
      <c r="AG21">
        <v>147</v>
      </c>
      <c r="AH21">
        <f t="shared" si="8"/>
        <v>0.7277227722772277</v>
      </c>
      <c r="AI21">
        <f t="shared" si="9"/>
        <v>2.167317334748176</v>
      </c>
      <c r="AJ21">
        <f t="shared" si="17"/>
        <v>0.2722772277227723</v>
      </c>
      <c r="AK21">
        <f>SUM($AJ$2:AJ21)</f>
        <v>3.9059405940594063</v>
      </c>
      <c r="AL21">
        <f t="shared" si="18"/>
        <v>0.1952970297029703</v>
      </c>
      <c r="AM21">
        <v>20</v>
      </c>
    </row>
    <row r="22" spans="1:39" x14ac:dyDescent="0.25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9"/>
        <v>0</v>
      </c>
      <c r="E22">
        <f>SUM($D$2:D22)</f>
        <v>3.2275439307348668</v>
      </c>
      <c r="F22">
        <f t="shared" si="10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3"/>
        <v>0.39608007228791342</v>
      </c>
      <c r="U22">
        <f>SUM($T$2:T22)</f>
        <v>3.1353333658235485</v>
      </c>
      <c r="V22">
        <f t="shared" si="14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5"/>
        <v>0.18919853454435698</v>
      </c>
      <c r="AC22">
        <f>SUM($AB$2:AB22)</f>
        <v>2.9513051183653052</v>
      </c>
      <c r="AD22">
        <f t="shared" si="16"/>
        <v>0.14053833896977644</v>
      </c>
      <c r="AE22">
        <v>21</v>
      </c>
      <c r="AG22">
        <v>146</v>
      </c>
      <c r="AH22">
        <f t="shared" si="8"/>
        <v>0.72277227722772275</v>
      </c>
      <c r="AI22">
        <f t="shared" si="9"/>
        <v>2.1643528557844371</v>
      </c>
      <c r="AJ22">
        <f t="shared" si="17"/>
        <v>0.27722772277227725</v>
      </c>
      <c r="AK22">
        <f>SUM($AJ$2:AJ22)</f>
        <v>4.1831683168316838</v>
      </c>
      <c r="AL22">
        <f t="shared" si="18"/>
        <v>0.19919849127769923</v>
      </c>
      <c r="AM22">
        <v>21</v>
      </c>
    </row>
    <row r="23" spans="1:39" x14ac:dyDescent="0.25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9"/>
        <v>7.9181246047624776E-2</v>
      </c>
      <c r="E23">
        <f>SUM($D$2:D23)</f>
        <v>3.3067251767824914</v>
      </c>
      <c r="F23">
        <f t="shared" si="10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3"/>
        <v>0.42090365601294577</v>
      </c>
      <c r="U23">
        <f>SUM($T$2:T23)</f>
        <v>3.5562370218364943</v>
      </c>
      <c r="V23">
        <f t="shared" si="14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5"/>
        <v>0.19284298514980103</v>
      </c>
      <c r="AC23">
        <f>SUM($AB$2:AB23)</f>
        <v>3.1441481035151062</v>
      </c>
      <c r="AD23">
        <f t="shared" si="16"/>
        <v>0.14291582288705029</v>
      </c>
      <c r="AE23">
        <v>22</v>
      </c>
      <c r="AG23">
        <v>145</v>
      </c>
      <c r="AH23">
        <f t="shared" si="8"/>
        <v>0.71782178217821779</v>
      </c>
      <c r="AI23">
        <f t="shared" si="9"/>
        <v>2.1613680022349748</v>
      </c>
      <c r="AJ23">
        <f t="shared" si="17"/>
        <v>0.28217821782178221</v>
      </c>
      <c r="AK23">
        <f>SUM($AJ$2:AJ23)</f>
        <v>4.4653465346534658</v>
      </c>
      <c r="AL23">
        <f t="shared" si="18"/>
        <v>0.20297029702970298</v>
      </c>
      <c r="AM23">
        <v>22</v>
      </c>
    </row>
    <row r="24" spans="1:39" x14ac:dyDescent="0.25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9"/>
        <v>9.6910013008056461E-2</v>
      </c>
      <c r="E24">
        <f>SUM($D$2:D24)</f>
        <v>3.4036351897905481</v>
      </c>
      <c r="F24">
        <f t="shared" si="10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3"/>
        <v>0.45994456025143249</v>
      </c>
      <c r="U24">
        <f>SUM($T$2:T24)</f>
        <v>4.0161815820879267</v>
      </c>
      <c r="V24">
        <f t="shared" si="14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5"/>
        <v>0.20146755616349665</v>
      </c>
      <c r="AC24">
        <f>SUM($AB$2:AB24)</f>
        <v>3.3456156596786029</v>
      </c>
      <c r="AD24">
        <f t="shared" si="16"/>
        <v>0.14546155042080883</v>
      </c>
      <c r="AE24">
        <v>23</v>
      </c>
      <c r="AG24">
        <v>144</v>
      </c>
      <c r="AH24">
        <f t="shared" si="8"/>
        <v>0.71287128712871284</v>
      </c>
      <c r="AI24">
        <f t="shared" si="9"/>
        <v>2.1583624920952498</v>
      </c>
      <c r="AJ24">
        <f t="shared" si="17"/>
        <v>0.28712871287128716</v>
      </c>
      <c r="AK24">
        <f>SUM($AJ$2:AJ24)</f>
        <v>4.7524752475247531</v>
      </c>
      <c r="AL24">
        <f t="shared" si="18"/>
        <v>0.20662935858803275</v>
      </c>
      <c r="AM24">
        <v>23</v>
      </c>
    </row>
    <row r="25" spans="1:39" x14ac:dyDescent="0.25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9"/>
        <v>0</v>
      </c>
      <c r="E25">
        <f>SUM($D$2:D25)</f>
        <v>3.4036351897905481</v>
      </c>
      <c r="F25">
        <f t="shared" si="10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3"/>
        <v>0.46644285328835</v>
      </c>
      <c r="U25">
        <f>SUM($T$2:T25)</f>
        <v>4.4826244353762768</v>
      </c>
      <c r="V25">
        <f t="shared" si="14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5"/>
        <v>0.23509046079157336</v>
      </c>
      <c r="AC25">
        <f>SUM($AB$2:AB25)</f>
        <v>3.5807061204701762</v>
      </c>
      <c r="AD25">
        <f t="shared" si="16"/>
        <v>0.149196088352924</v>
      </c>
      <c r="AE25">
        <v>24</v>
      </c>
      <c r="AG25">
        <v>143</v>
      </c>
      <c r="AH25">
        <f t="shared" si="8"/>
        <v>0.70792079207920788</v>
      </c>
      <c r="AI25">
        <f t="shared" si="9"/>
        <v>2.1553360374650619</v>
      </c>
      <c r="AJ25">
        <f t="shared" si="17"/>
        <v>0.29207920792079212</v>
      </c>
      <c r="AK25">
        <f>SUM($AJ$2:AJ25)</f>
        <v>5.044554455445545</v>
      </c>
      <c r="AL25">
        <f t="shared" si="18"/>
        <v>0.2101897689768977</v>
      </c>
      <c r="AM25">
        <v>24</v>
      </c>
    </row>
    <row r="26" spans="1:39" x14ac:dyDescent="0.25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9"/>
        <v>0.3010299956639812</v>
      </c>
      <c r="E26">
        <f>SUM($D$2:D26)</f>
        <v>3.7046651854545294</v>
      </c>
      <c r="F26">
        <f t="shared" si="10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3"/>
        <v>0.49345432316155735</v>
      </c>
      <c r="U26">
        <f>SUM($T$2:T26)</f>
        <v>4.9760787585378345</v>
      </c>
      <c r="V26">
        <f t="shared" si="14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5"/>
        <v>0.23914300480277051</v>
      </c>
      <c r="AC26">
        <f>SUM($AB$2:AB26)</f>
        <v>3.8198491252729467</v>
      </c>
      <c r="AD26">
        <f t="shared" si="16"/>
        <v>0.15279396501091788</v>
      </c>
      <c r="AE26">
        <v>25</v>
      </c>
      <c r="AG26">
        <v>141</v>
      </c>
      <c r="AH26">
        <f t="shared" si="8"/>
        <v>0.69801980198019797</v>
      </c>
      <c r="AI26">
        <f t="shared" si="9"/>
        <v>2.1492191126553797</v>
      </c>
      <c r="AJ26">
        <f t="shared" si="17"/>
        <v>0.30198019801980203</v>
      </c>
      <c r="AK26">
        <f>SUM($AJ$2:AJ26)</f>
        <v>5.3465346534653468</v>
      </c>
      <c r="AL26">
        <f t="shared" si="18"/>
        <v>0.21386138613861388</v>
      </c>
      <c r="AM26">
        <v>25</v>
      </c>
    </row>
    <row r="27" spans="1:39" x14ac:dyDescent="0.25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9"/>
        <v>0</v>
      </c>
      <c r="E27">
        <f>SUM($D$2:D27)</f>
        <v>3.7046651854545294</v>
      </c>
      <c r="F27">
        <f t="shared" si="10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3"/>
        <v>0.53229981930590275</v>
      </c>
      <c r="U27">
        <f>SUM($T$2:T27)</f>
        <v>5.5083785778437377</v>
      </c>
      <c r="V27">
        <f t="shared" si="14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5"/>
        <v>0.248748645576228</v>
      </c>
      <c r="AC27">
        <f>SUM($AB$2:AB27)</f>
        <v>4.0685977708491752</v>
      </c>
      <c r="AD27">
        <f t="shared" si="16"/>
        <v>0.15648452964804521</v>
      </c>
      <c r="AE27">
        <v>26</v>
      </c>
      <c r="AG27">
        <v>140</v>
      </c>
      <c r="AH27">
        <f t="shared" si="8"/>
        <v>0.69306930693069302</v>
      </c>
      <c r="AI27">
        <f t="shared" si="9"/>
        <v>2.1461280356782382</v>
      </c>
      <c r="AJ27">
        <f t="shared" si="17"/>
        <v>0.30693069306930698</v>
      </c>
      <c r="AK27">
        <f>SUM($AJ$2:AJ27)</f>
        <v>5.653465346534654</v>
      </c>
      <c r="AL27">
        <f t="shared" si="18"/>
        <v>0.21744097486671746</v>
      </c>
      <c r="AM27">
        <v>26</v>
      </c>
    </row>
    <row r="28" spans="1:39" x14ac:dyDescent="0.25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9"/>
        <v>0</v>
      </c>
      <c r="E28">
        <f>SUM($D$2:D28)</f>
        <v>3.7046651854545294</v>
      </c>
      <c r="F28">
        <f t="shared" si="10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3"/>
        <v>0.54388169185571789</v>
      </c>
      <c r="U28">
        <f>SUM($T$2:T28)</f>
        <v>6.0522602696994561</v>
      </c>
      <c r="V28">
        <f t="shared" si="14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5"/>
        <v>0.25013838910423347</v>
      </c>
      <c r="AC28">
        <f>SUM($AB$2:AB28)</f>
        <v>4.3187361599534082</v>
      </c>
      <c r="AD28">
        <f t="shared" si="16"/>
        <v>0.1599531911093855</v>
      </c>
      <c r="AE28">
        <v>27</v>
      </c>
      <c r="AG28">
        <v>139</v>
      </c>
      <c r="AH28">
        <f t="shared" si="8"/>
        <v>0.68811881188118806</v>
      </c>
      <c r="AI28">
        <f t="shared" si="9"/>
        <v>2.143014800254095</v>
      </c>
      <c r="AJ28">
        <f t="shared" si="17"/>
        <v>0.31188118811881194</v>
      </c>
      <c r="AK28">
        <f>SUM($AJ$2:AJ28)</f>
        <v>5.9653465346534658</v>
      </c>
      <c r="AL28">
        <f t="shared" si="18"/>
        <v>0.22093876054272096</v>
      </c>
      <c r="AM28">
        <v>27</v>
      </c>
    </row>
    <row r="29" spans="1:39" x14ac:dyDescent="0.25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9"/>
        <v>0</v>
      </c>
      <c r="E29">
        <f>SUM($D$2:D29)</f>
        <v>3.7046651854545294</v>
      </c>
      <c r="F29">
        <f t="shared" si="10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3"/>
        <v>0.57356553633520013</v>
      </c>
      <c r="U29">
        <f>SUM($T$2:T29)</f>
        <v>6.6258258060346567</v>
      </c>
      <c r="V29">
        <f t="shared" si="14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5"/>
        <v>0.25433450369784172</v>
      </c>
      <c r="AC29">
        <f>SUM($AB$2:AB29)</f>
        <v>4.5730706636512499</v>
      </c>
      <c r="AD29">
        <f t="shared" si="16"/>
        <v>0.16332395227325894</v>
      </c>
      <c r="AE29">
        <v>28</v>
      </c>
      <c r="AG29">
        <v>138</v>
      </c>
      <c r="AH29">
        <f t="shared" si="8"/>
        <v>0.68316831683168322</v>
      </c>
      <c r="AI29">
        <f t="shared" si="9"/>
        <v>2.1398790864012365</v>
      </c>
      <c r="AJ29">
        <f t="shared" si="17"/>
        <v>0.31683168316831678</v>
      </c>
      <c r="AK29">
        <f>SUM($AJ$2:AJ29)</f>
        <v>6.2821782178217829</v>
      </c>
      <c r="AL29">
        <f t="shared" si="18"/>
        <v>0.22436350777934938</v>
      </c>
      <c r="AM29">
        <v>28</v>
      </c>
    </row>
    <row r="30" spans="1:39" x14ac:dyDescent="0.25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9"/>
        <v>0</v>
      </c>
      <c r="E30">
        <f>SUM($D$2:D30)</f>
        <v>3.7046651854545294</v>
      </c>
      <c r="F30">
        <f t="shared" si="10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3"/>
        <v>0.59356947604482535</v>
      </c>
      <c r="U30">
        <f>SUM($T$2:T30)</f>
        <v>7.219395282079482</v>
      </c>
      <c r="V30">
        <f t="shared" si="14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5"/>
        <v>0.25433450369784172</v>
      </c>
      <c r="AC30">
        <f>SUM($AB$2:AB30)</f>
        <v>4.8274051673490916</v>
      </c>
      <c r="AD30">
        <f t="shared" si="16"/>
        <v>0.16646224714996868</v>
      </c>
      <c r="AE30">
        <v>29</v>
      </c>
      <c r="AG30">
        <v>137</v>
      </c>
      <c r="AH30">
        <f t="shared" si="8"/>
        <v>0.67821782178217827</v>
      </c>
      <c r="AI30">
        <f t="shared" si="9"/>
        <v>2.1367205671564067</v>
      </c>
      <c r="AJ30">
        <f t="shared" si="17"/>
        <v>0.32178217821782173</v>
      </c>
      <c r="AK30">
        <f>SUM($AJ$2:AJ30)</f>
        <v>6.6039603960396045</v>
      </c>
      <c r="AL30">
        <f t="shared" si="18"/>
        <v>0.22772277227722773</v>
      </c>
      <c r="AM30">
        <v>29</v>
      </c>
    </row>
    <row r="31" spans="1:39" x14ac:dyDescent="0.25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9"/>
        <v>0</v>
      </c>
      <c r="E31">
        <f>SUM($D$2:D31)</f>
        <v>3.7046651854545294</v>
      </c>
      <c r="F31">
        <f t="shared" si="10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3"/>
        <v>0.62699323153177478</v>
      </c>
      <c r="U31">
        <f>SUM($T$2:T31)</f>
        <v>7.8463885136112568</v>
      </c>
      <c r="V31">
        <f t="shared" si="14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5"/>
        <v>0.26428604016552582</v>
      </c>
      <c r="AC31">
        <f>SUM($AB$2:AB31)</f>
        <v>5.0916912075146179</v>
      </c>
      <c r="AD31">
        <f t="shared" si="16"/>
        <v>0.16972304025048726</v>
      </c>
      <c r="AE31">
        <v>30</v>
      </c>
      <c r="AG31">
        <v>136</v>
      </c>
      <c r="AH31">
        <f t="shared" si="8"/>
        <v>0.67326732673267331</v>
      </c>
      <c r="AI31">
        <f t="shared" si="9"/>
        <v>2.1335389083702174</v>
      </c>
      <c r="AJ31">
        <f t="shared" si="17"/>
        <v>0.32673267326732669</v>
      </c>
      <c r="AK31">
        <f>SUM($AJ$2:AJ31)</f>
        <v>6.9306930693069315</v>
      </c>
      <c r="AL31">
        <f t="shared" si="18"/>
        <v>0.23102310231023104</v>
      </c>
      <c r="AM31">
        <v>30</v>
      </c>
    </row>
    <row r="32" spans="1:39" x14ac:dyDescent="0.25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9"/>
        <v>0</v>
      </c>
      <c r="E32">
        <f>SUM($D$2:D32)</f>
        <v>3.7046651854545294</v>
      </c>
      <c r="F32">
        <f t="shared" si="10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3"/>
        <v>0.68251055938160654</v>
      </c>
      <c r="U32">
        <f>SUM($T$2:T32)</f>
        <v>8.5288990729928642</v>
      </c>
      <c r="V32">
        <f t="shared" si="14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5"/>
        <v>0.27594565271051907</v>
      </c>
      <c r="AC32">
        <f>SUM($AB$2:AB32)</f>
        <v>5.3676368602251365</v>
      </c>
      <c r="AD32">
        <f t="shared" si="16"/>
        <v>0.17314957613629472</v>
      </c>
      <c r="AE32">
        <v>31</v>
      </c>
      <c r="AG32">
        <v>135</v>
      </c>
      <c r="AH32">
        <f t="shared" si="8"/>
        <v>0.66831683168316836</v>
      </c>
      <c r="AI32">
        <f t="shared" si="9"/>
        <v>2.1303337684950061</v>
      </c>
      <c r="AJ32">
        <f t="shared" si="17"/>
        <v>0.33168316831683164</v>
      </c>
      <c r="AK32">
        <f>SUM($AJ$2:AJ32)</f>
        <v>7.2623762376237631</v>
      </c>
      <c r="AL32">
        <f t="shared" si="18"/>
        <v>0.23427020121366979</v>
      </c>
      <c r="AM32">
        <v>31</v>
      </c>
    </row>
    <row r="33" spans="1:39" x14ac:dyDescent="0.25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9"/>
        <v>0</v>
      </c>
      <c r="E33">
        <f>SUM($D$2:D33)</f>
        <v>3.7046651854545294</v>
      </c>
      <c r="F33">
        <f t="shared" si="10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3"/>
        <v>0.68251055938160654</v>
      </c>
      <c r="U33">
        <f>SUM($T$2:T33)</f>
        <v>9.2114096323744707</v>
      </c>
      <c r="V33">
        <f t="shared" si="14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5"/>
        <v>0.28189498522372025</v>
      </c>
      <c r="AC33">
        <f>SUM($AB$2:AB33)</f>
        <v>5.6495318454488572</v>
      </c>
      <c r="AD33">
        <f t="shared" si="16"/>
        <v>0.17654787017027679</v>
      </c>
      <c r="AE33">
        <v>32</v>
      </c>
      <c r="AG33">
        <v>134</v>
      </c>
      <c r="AH33">
        <f t="shared" si="8"/>
        <v>0.6633663366336634</v>
      </c>
      <c r="AI33">
        <f t="shared" si="9"/>
        <v>2.1271047983648077</v>
      </c>
      <c r="AJ33">
        <f t="shared" si="17"/>
        <v>0.3366336633663366</v>
      </c>
      <c r="AK33">
        <f>SUM($AJ$2:AJ33)</f>
        <v>7.5990099009901</v>
      </c>
      <c r="AL33">
        <f t="shared" si="18"/>
        <v>0.23746905940594062</v>
      </c>
      <c r="AM33">
        <v>32</v>
      </c>
    </row>
    <row r="34" spans="1:39" x14ac:dyDescent="0.25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9"/>
        <v>0</v>
      </c>
      <c r="E34">
        <f>SUM($D$2:D34)</f>
        <v>3.7046651854545294</v>
      </c>
      <c r="F34">
        <f t="shared" si="10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3"/>
        <v>0.85950004933018809</v>
      </c>
      <c r="U34">
        <f>SUM($T$2:T34)</f>
        <v>10.070909681704659</v>
      </c>
      <c r="V34">
        <f t="shared" si="14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5"/>
        <v>0.2940438748033154</v>
      </c>
      <c r="AC34">
        <f>SUM($AB$2:AB34)</f>
        <v>5.9435757202521726</v>
      </c>
      <c r="AD34">
        <f t="shared" si="16"/>
        <v>0.18010835515915674</v>
      </c>
      <c r="AE34">
        <v>33</v>
      </c>
      <c r="AG34">
        <v>133</v>
      </c>
      <c r="AH34">
        <f t="shared" si="8"/>
        <v>0.65841584158415845</v>
      </c>
      <c r="AI34">
        <f t="shared" si="9"/>
        <v>2.1238516409670858</v>
      </c>
      <c r="AJ34">
        <f t="shared" si="17"/>
        <v>0.34158415841584155</v>
      </c>
      <c r="AK34">
        <f>SUM($AJ$2:AJ34)</f>
        <v>7.9405940594059414</v>
      </c>
      <c r="AL34">
        <f t="shared" si="18"/>
        <v>0.24062406240624065</v>
      </c>
      <c r="AM34">
        <v>33</v>
      </c>
    </row>
    <row r="35" spans="1:39" x14ac:dyDescent="0.25">
      <c r="A35">
        <v>1</v>
      </c>
      <c r="B35">
        <f t="shared" si="0"/>
        <v>9.8697196999605207E-5</v>
      </c>
      <c r="C35">
        <f t="shared" si="1"/>
        <v>0</v>
      </c>
      <c r="D35">
        <f t="shared" si="19"/>
        <v>0.3010299956639812</v>
      </c>
      <c r="E35">
        <f>SUM($D$2:D35)</f>
        <v>4.0056951811185106</v>
      </c>
      <c r="F35">
        <f t="shared" si="10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3"/>
        <v>0.87880520452557453</v>
      </c>
      <c r="U35">
        <f>SUM($T$2:T35)</f>
        <v>10.949714886230234</v>
      </c>
      <c r="V35">
        <f t="shared" si="14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5"/>
        <v>0.2971349517804569</v>
      </c>
      <c r="AC35">
        <f>SUM($AB$2:AB35)</f>
        <v>6.2407106720326295</v>
      </c>
      <c r="AD35">
        <f t="shared" si="16"/>
        <v>0.18355031388331264</v>
      </c>
      <c r="AE35">
        <v>34</v>
      </c>
      <c r="AG35">
        <v>132</v>
      </c>
      <c r="AH35">
        <f t="shared" si="8"/>
        <v>0.65346534653465349</v>
      </c>
      <c r="AI35">
        <f t="shared" si="9"/>
        <v>2.12057393120585</v>
      </c>
      <c r="AJ35">
        <f t="shared" si="17"/>
        <v>0.34653465346534651</v>
      </c>
      <c r="AK35">
        <f>SUM($AJ$2:AJ35)</f>
        <v>8.2871287128712883</v>
      </c>
      <c r="AL35">
        <f t="shared" si="18"/>
        <v>0.24373907979033202</v>
      </c>
      <c r="AM35">
        <v>34</v>
      </c>
    </row>
    <row r="36" spans="1:39" x14ac:dyDescent="0.25">
      <c r="A36">
        <v>1</v>
      </c>
      <c r="B36">
        <f t="shared" si="0"/>
        <v>9.8697196999605207E-5</v>
      </c>
      <c r="C36">
        <f t="shared" si="1"/>
        <v>0</v>
      </c>
      <c r="D36">
        <f t="shared" si="19"/>
        <v>0</v>
      </c>
      <c r="E36">
        <f>SUM($D$2:D36)</f>
        <v>4.0056951811185106</v>
      </c>
      <c r="F36">
        <f t="shared" si="10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3"/>
        <v>0.89900859061386162</v>
      </c>
      <c r="U36">
        <f>SUM($T$2:T36)</f>
        <v>11.848723476844096</v>
      </c>
      <c r="V36">
        <f t="shared" si="14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5"/>
        <v>0.3033839010574586</v>
      </c>
      <c r="AC36">
        <f>SUM($AB$2:AB36)</f>
        <v>6.5440945730900886</v>
      </c>
      <c r="AD36">
        <f t="shared" si="16"/>
        <v>0.18697413065971683</v>
      </c>
      <c r="AE36">
        <v>35</v>
      </c>
      <c r="AG36">
        <v>131</v>
      </c>
      <c r="AH36">
        <f t="shared" si="8"/>
        <v>0.64851485148514854</v>
      </c>
      <c r="AI36">
        <f t="shared" si="9"/>
        <v>2.1172712956557644</v>
      </c>
      <c r="AJ36">
        <f t="shared" si="17"/>
        <v>0.35148514851485146</v>
      </c>
      <c r="AK36">
        <f>SUM($AJ$2:AJ36)</f>
        <v>8.6386138613861405</v>
      </c>
      <c r="AL36">
        <f t="shared" si="18"/>
        <v>0.24681753889674687</v>
      </c>
      <c r="AM36">
        <v>35</v>
      </c>
    </row>
    <row r="37" spans="1:39" x14ac:dyDescent="0.25">
      <c r="A37">
        <v>1</v>
      </c>
      <c r="B37">
        <f t="shared" si="0"/>
        <v>9.8697196999605207E-5</v>
      </c>
      <c r="C37">
        <f t="shared" si="1"/>
        <v>0</v>
      </c>
      <c r="D37">
        <f t="shared" si="19"/>
        <v>0</v>
      </c>
      <c r="E37">
        <f>SUM($D$2:D37)</f>
        <v>4.0056951811185106</v>
      </c>
      <c r="F37">
        <f t="shared" si="10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3"/>
        <v>1.0410200600972672</v>
      </c>
      <c r="U37">
        <f>SUM($T$2:T37)</f>
        <v>12.889743536941364</v>
      </c>
      <c r="V37">
        <f t="shared" si="14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5"/>
        <v>0.3033839010574586</v>
      </c>
      <c r="AC37">
        <f>SUM($AB$2:AB37)</f>
        <v>6.8474784741475467</v>
      </c>
      <c r="AD37">
        <f t="shared" si="16"/>
        <v>0.19020773539298741</v>
      </c>
      <c r="AE37">
        <v>36</v>
      </c>
      <c r="AG37">
        <v>130</v>
      </c>
      <c r="AH37">
        <f t="shared" si="8"/>
        <v>0.64356435643564358</v>
      </c>
      <c r="AI37">
        <f t="shared" si="9"/>
        <v>2.1139433523068369</v>
      </c>
      <c r="AJ37">
        <f t="shared" si="17"/>
        <v>0.35643564356435642</v>
      </c>
      <c r="AK37">
        <f>SUM($AJ$2:AJ37)</f>
        <v>8.9950495049504973</v>
      </c>
      <c r="AL37">
        <f t="shared" si="18"/>
        <v>0.24986248624862492</v>
      </c>
      <c r="AM37">
        <v>36</v>
      </c>
    </row>
    <row r="38" spans="1:39" x14ac:dyDescent="0.25">
      <c r="A38">
        <v>1</v>
      </c>
      <c r="B38">
        <f t="shared" si="0"/>
        <v>9.8697196999605207E-5</v>
      </c>
      <c r="C38">
        <f t="shared" si="1"/>
        <v>0</v>
      </c>
      <c r="D38">
        <f t="shared" si="19"/>
        <v>0</v>
      </c>
      <c r="E38">
        <f>SUM($D$2:D38)</f>
        <v>4.0056951811185106</v>
      </c>
      <c r="F38">
        <f t="shared" si="10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3"/>
        <v>1.0410200600972672</v>
      </c>
      <c r="U38">
        <f>SUM($T$2:T38)</f>
        <v>13.930763597038631</v>
      </c>
      <c r="V38">
        <f t="shared" si="14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5"/>
        <v>0.30496028929241348</v>
      </c>
      <c r="AC38">
        <f>SUM($AB$2:AB38)</f>
        <v>7.1524387634399602</v>
      </c>
      <c r="AD38">
        <f t="shared" si="16"/>
        <v>0.19330915576864757</v>
      </c>
      <c r="AE38">
        <v>37</v>
      </c>
      <c r="AG38">
        <v>129</v>
      </c>
      <c r="AH38">
        <f t="shared" si="8"/>
        <v>0.63861386138613863</v>
      </c>
      <c r="AI38">
        <f t="shared" si="9"/>
        <v>2.1105897102992488</v>
      </c>
      <c r="AJ38">
        <f t="shared" si="17"/>
        <v>0.36138613861386137</v>
      </c>
      <c r="AK38">
        <f>SUM($AJ$2:AJ38)</f>
        <v>9.3564356435643585</v>
      </c>
      <c r="AL38">
        <f t="shared" si="18"/>
        <v>0.25287663901525292</v>
      </c>
      <c r="AM38">
        <v>37</v>
      </c>
    </row>
    <row r="39" spans="1:39" x14ac:dyDescent="0.25">
      <c r="A39">
        <v>1</v>
      </c>
      <c r="B39">
        <f t="shared" si="0"/>
        <v>9.8697196999605207E-5</v>
      </c>
      <c r="C39">
        <f t="shared" si="1"/>
        <v>0</v>
      </c>
      <c r="D39">
        <f t="shared" si="19"/>
        <v>0</v>
      </c>
      <c r="E39">
        <f>SUM($D$2:D39)</f>
        <v>4.0056951811185106</v>
      </c>
      <c r="F39">
        <f t="shared" si="10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3"/>
        <v>1.2402511226612112</v>
      </c>
      <c r="U39">
        <f>SUM($T$2:T39)</f>
        <v>15.171014719699842</v>
      </c>
      <c r="V39">
        <f t="shared" si="14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5"/>
        <v>0.3065424203022884</v>
      </c>
      <c r="AC39">
        <f>SUM($AB$2:AB39)</f>
        <v>7.4589811837422486</v>
      </c>
      <c r="AD39">
        <f t="shared" si="16"/>
        <v>0.19628897851953286</v>
      </c>
      <c r="AE39">
        <v>38</v>
      </c>
      <c r="AG39">
        <v>128</v>
      </c>
      <c r="AH39">
        <f t="shared" si="8"/>
        <v>0.63366336633663367</v>
      </c>
      <c r="AI39">
        <f t="shared" si="9"/>
        <v>2.1072099696478683</v>
      </c>
      <c r="AJ39">
        <f t="shared" si="17"/>
        <v>0.36633663366336633</v>
      </c>
      <c r="AK39">
        <f>SUM($AJ$2:AJ39)</f>
        <v>9.7227722772277243</v>
      </c>
      <c r="AL39">
        <f t="shared" si="18"/>
        <v>0.25586242834809803</v>
      </c>
      <c r="AM39">
        <v>38</v>
      </c>
    </row>
    <row r="40" spans="1:39" x14ac:dyDescent="0.25">
      <c r="A40">
        <v>1</v>
      </c>
      <c r="B40">
        <f t="shared" si="0"/>
        <v>9.8697196999605207E-5</v>
      </c>
      <c r="C40">
        <f t="shared" si="1"/>
        <v>0</v>
      </c>
      <c r="D40">
        <f t="shared" si="19"/>
        <v>0</v>
      </c>
      <c r="E40">
        <f>SUM($D$2:D40)</f>
        <v>4.0056951811185106</v>
      </c>
      <c r="F40">
        <f t="shared" si="10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3"/>
        <v>1.3104510696895462</v>
      </c>
      <c r="U40">
        <f>SUM($T$2:T40)</f>
        <v>16.481465789389389</v>
      </c>
      <c r="V40">
        <f t="shared" si="14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5"/>
        <v>0.3065424203022884</v>
      </c>
      <c r="AC40">
        <f>SUM($AB$2:AB40)</f>
        <v>7.765523604044537</v>
      </c>
      <c r="AD40">
        <f t="shared" si="16"/>
        <v>0.19911598984729581</v>
      </c>
      <c r="AE40">
        <v>39</v>
      </c>
      <c r="AG40">
        <v>127</v>
      </c>
      <c r="AH40">
        <f t="shared" si="8"/>
        <v>0.62871287128712872</v>
      </c>
      <c r="AI40">
        <f t="shared" si="9"/>
        <v>2.1038037209559568</v>
      </c>
      <c r="AJ40">
        <f t="shared" si="17"/>
        <v>0.37128712871287128</v>
      </c>
      <c r="AK40">
        <f>SUM($AJ$2:AJ40)</f>
        <v>10.094059405940596</v>
      </c>
      <c r="AL40">
        <f t="shared" si="18"/>
        <v>0.2588220360497589</v>
      </c>
      <c r="AM40">
        <v>39</v>
      </c>
    </row>
    <row r="41" spans="1:39" x14ac:dyDescent="0.25">
      <c r="A41">
        <v>1</v>
      </c>
      <c r="B41">
        <f t="shared" si="0"/>
        <v>9.8697196999605207E-5</v>
      </c>
      <c r="C41">
        <f t="shared" si="1"/>
        <v>0</v>
      </c>
      <c r="D41">
        <f t="shared" si="19"/>
        <v>0</v>
      </c>
      <c r="E41">
        <f>SUM($D$2:D41)</f>
        <v>4.0056951811185106</v>
      </c>
      <c r="F41">
        <f t="shared" si="10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3"/>
        <v>1.333932165539069</v>
      </c>
      <c r="U41">
        <f>SUM($T$2:T41)</f>
        <v>17.815397954928457</v>
      </c>
      <c r="V41">
        <f t="shared" si="14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5"/>
        <v>0.3065424203022884</v>
      </c>
      <c r="AC41">
        <f>SUM($AB$2:AB41)</f>
        <v>8.0720660243468245</v>
      </c>
      <c r="AD41">
        <f t="shared" si="16"/>
        <v>0.20180165060867061</v>
      </c>
      <c r="AE41">
        <v>40</v>
      </c>
      <c r="AG41">
        <v>126</v>
      </c>
      <c r="AH41">
        <f t="shared" si="8"/>
        <v>0.62376237623762376</v>
      </c>
      <c r="AI41">
        <f t="shared" si="9"/>
        <v>2.1003705451175629</v>
      </c>
      <c r="AJ41">
        <f t="shared" si="17"/>
        <v>0.37623762376237624</v>
      </c>
      <c r="AK41">
        <f>SUM($AJ$2:AJ41)</f>
        <v>10.470297029702973</v>
      </c>
      <c r="AL41">
        <f t="shared" si="18"/>
        <v>0.26175742574257432</v>
      </c>
      <c r="AM41">
        <v>40</v>
      </c>
    </row>
    <row r="42" spans="1:39" x14ac:dyDescent="0.25">
      <c r="A42">
        <v>1</v>
      </c>
      <c r="B42">
        <f t="shared" si="0"/>
        <v>9.8697196999605207E-5</v>
      </c>
      <c r="C42">
        <f t="shared" si="1"/>
        <v>0</v>
      </c>
      <c r="D42">
        <f t="shared" si="19"/>
        <v>0</v>
      </c>
      <c r="E42">
        <f>SUM($D$2:D42)</f>
        <v>4.0056951811185106</v>
      </c>
      <c r="F42">
        <f t="shared" si="10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3"/>
        <v>1.3503225817272384</v>
      </c>
      <c r="U42">
        <f>SUM($T$2:T42)</f>
        <v>19.165720536655694</v>
      </c>
      <c r="V42">
        <f t="shared" si="14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5"/>
        <v>0.30972407908847766</v>
      </c>
      <c r="AC42">
        <f>SUM($AB$2:AB42)</f>
        <v>8.3817901034353017</v>
      </c>
      <c r="AD42">
        <f t="shared" si="16"/>
        <v>0.20443390496183664</v>
      </c>
      <c r="AE42">
        <v>41</v>
      </c>
      <c r="AG42">
        <v>125</v>
      </c>
      <c r="AH42">
        <f t="shared" si="8"/>
        <v>0.61881188118811881</v>
      </c>
      <c r="AI42">
        <f t="shared" si="9"/>
        <v>2.0969100130080562</v>
      </c>
      <c r="AJ42">
        <f t="shared" si="17"/>
        <v>0.38118811881188119</v>
      </c>
      <c r="AK42">
        <f>SUM($AJ$2:AJ42)</f>
        <v>10.851485148514854</v>
      </c>
      <c r="AL42">
        <f t="shared" si="18"/>
        <v>0.26467036947597206</v>
      </c>
      <c r="AM42">
        <v>41</v>
      </c>
    </row>
    <row r="43" spans="1:39" x14ac:dyDescent="0.25">
      <c r="A43">
        <v>1</v>
      </c>
      <c r="B43">
        <f t="shared" si="0"/>
        <v>9.8697196999605207E-5</v>
      </c>
      <c r="C43">
        <f t="shared" si="1"/>
        <v>0</v>
      </c>
      <c r="D43">
        <f t="shared" si="19"/>
        <v>0</v>
      </c>
      <c r="E43">
        <f>SUM($D$2:D43)</f>
        <v>4.0056951811185106</v>
      </c>
      <c r="F43">
        <f t="shared" si="10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3"/>
        <v>1.3587557492641014</v>
      </c>
      <c r="U43">
        <f>SUM($T$2:T43)</f>
        <v>20.524476285919796</v>
      </c>
      <c r="V43">
        <f t="shared" si="14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5"/>
        <v>0.3113236922482705</v>
      </c>
      <c r="AC43">
        <f>SUM($AB$2:AB43)</f>
        <v>8.6931137956835727</v>
      </c>
      <c r="AD43">
        <f t="shared" si="16"/>
        <v>0.20697889989722792</v>
      </c>
      <c r="AE43">
        <v>42</v>
      </c>
      <c r="AG43">
        <v>124</v>
      </c>
      <c r="AH43">
        <f t="shared" si="8"/>
        <v>0.61386138613861385</v>
      </c>
      <c r="AI43">
        <f t="shared" si="9"/>
        <v>2.0934216851622351</v>
      </c>
      <c r="AJ43">
        <f t="shared" si="17"/>
        <v>0.38613861386138615</v>
      </c>
      <c r="AK43">
        <f>SUM($AJ$2:AJ43)</f>
        <v>11.23762376237624</v>
      </c>
      <c r="AL43">
        <f t="shared" si="18"/>
        <v>0.2675624705327676</v>
      </c>
      <c r="AM43">
        <v>42</v>
      </c>
    </row>
    <row r="44" spans="1:39" x14ac:dyDescent="0.25">
      <c r="A44">
        <v>1</v>
      </c>
      <c r="B44">
        <f t="shared" si="0"/>
        <v>9.8697196999605207E-5</v>
      </c>
      <c r="C44">
        <f t="shared" si="1"/>
        <v>0</v>
      </c>
      <c r="D44">
        <f t="shared" si="19"/>
        <v>0</v>
      </c>
      <c r="E44">
        <f>SUM($D$2:D44)</f>
        <v>4.0056951811185106</v>
      </c>
      <c r="F44">
        <f t="shared" si="10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3"/>
        <v>1.4035680936804635</v>
      </c>
      <c r="U44">
        <f>SUM($T$2:T44)</f>
        <v>21.928044379600259</v>
      </c>
      <c r="V44">
        <f t="shared" si="14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5"/>
        <v>0.31941134649160929</v>
      </c>
      <c r="AC44">
        <f>SUM($AB$2:AB44)</f>
        <v>9.012525142175182</v>
      </c>
      <c r="AD44">
        <f t="shared" si="16"/>
        <v>0.20959360795756238</v>
      </c>
      <c r="AE44">
        <v>43</v>
      </c>
      <c r="AG44">
        <v>123</v>
      </c>
      <c r="AH44">
        <f t="shared" si="8"/>
        <v>0.6089108910891089</v>
      </c>
      <c r="AI44">
        <f t="shared" si="9"/>
        <v>2.0899051114393981</v>
      </c>
      <c r="AJ44">
        <f t="shared" si="17"/>
        <v>0.3910891089108911</v>
      </c>
      <c r="AK44">
        <f>SUM($AJ$2:AJ44)</f>
        <v>11.628712871287131</v>
      </c>
      <c r="AL44">
        <f t="shared" si="18"/>
        <v>0.27043518305318909</v>
      </c>
      <c r="AM44">
        <v>43</v>
      </c>
    </row>
    <row r="45" spans="1:39" x14ac:dyDescent="0.25">
      <c r="A45">
        <v>1</v>
      </c>
      <c r="B45">
        <f t="shared" si="0"/>
        <v>9.8697196999605207E-5</v>
      </c>
      <c r="C45">
        <f t="shared" si="1"/>
        <v>0</v>
      </c>
      <c r="D45">
        <f t="shared" si="19"/>
        <v>0</v>
      </c>
      <c r="E45">
        <f>SUM($D$2:D45)</f>
        <v>4.0056951811185106</v>
      </c>
      <c r="F45">
        <f t="shared" si="10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3"/>
        <v>1.4981242012950426</v>
      </c>
      <c r="U45">
        <f>SUM($T$2:T45)</f>
        <v>23.4261685808953</v>
      </c>
      <c r="V45">
        <f t="shared" si="14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5"/>
        <v>0.3243372346329183</v>
      </c>
      <c r="AC45">
        <f>SUM($AB$2:AB45)</f>
        <v>9.3368623768080994</v>
      </c>
      <c r="AD45">
        <f t="shared" si="16"/>
        <v>0.21220141765472952</v>
      </c>
      <c r="AE45">
        <v>44</v>
      </c>
      <c r="AG45">
        <v>122</v>
      </c>
      <c r="AH45">
        <f t="shared" si="8"/>
        <v>0.60396039603960394</v>
      </c>
      <c r="AI45">
        <f t="shared" si="9"/>
        <v>2.0863598306747484</v>
      </c>
      <c r="AJ45">
        <f t="shared" si="17"/>
        <v>0.39603960396039606</v>
      </c>
      <c r="AK45">
        <f>SUM($AJ$2:AJ45)</f>
        <v>12.024752475247528</v>
      </c>
      <c r="AL45">
        <f t="shared" si="18"/>
        <v>0.27328982898289839</v>
      </c>
      <c r="AM45">
        <v>44</v>
      </c>
    </row>
    <row r="46" spans="1:39" x14ac:dyDescent="0.25">
      <c r="A46">
        <v>1</v>
      </c>
      <c r="B46">
        <f t="shared" si="0"/>
        <v>9.8697196999605207E-5</v>
      </c>
      <c r="C46">
        <f t="shared" si="1"/>
        <v>0</v>
      </c>
      <c r="D46">
        <f t="shared" si="19"/>
        <v>0</v>
      </c>
      <c r="E46">
        <f>SUM($D$2:D46)</f>
        <v>4.0056951811185106</v>
      </c>
      <c r="F46">
        <f t="shared" si="10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3"/>
        <v>1.5348470083197825</v>
      </c>
      <c r="U46">
        <f>SUM($T$2:T46)</f>
        <v>24.961015589215084</v>
      </c>
      <c r="V46">
        <f t="shared" si="14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5"/>
        <v>0.3243372346329183</v>
      </c>
      <c r="AC46">
        <f>SUM($AB$2:AB46)</f>
        <v>9.6611996114410168</v>
      </c>
      <c r="AD46">
        <f t="shared" si="16"/>
        <v>0.21469332469868926</v>
      </c>
      <c r="AE46">
        <v>45</v>
      </c>
      <c r="AG46">
        <v>121</v>
      </c>
      <c r="AH46">
        <f t="shared" si="8"/>
        <v>0.59900990099009899</v>
      </c>
      <c r="AI46">
        <f t="shared" si="9"/>
        <v>2.0827853703164503</v>
      </c>
      <c r="AJ46">
        <f t="shared" si="17"/>
        <v>0.40099009900990101</v>
      </c>
      <c r="AK46">
        <f>SUM($AJ$2:AJ46)</f>
        <v>12.425742574257429</v>
      </c>
      <c r="AL46">
        <f t="shared" si="18"/>
        <v>0.27612761276127618</v>
      </c>
      <c r="AM46">
        <v>45</v>
      </c>
    </row>
    <row r="47" spans="1:39" x14ac:dyDescent="0.25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3"/>
        <v>1.7875723244092088</v>
      </c>
      <c r="U47">
        <f>SUM($T$2:T47)</f>
        <v>26.748587913624291</v>
      </c>
      <c r="V47">
        <f t="shared" si="14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5"/>
        <v>0.32931963515185858</v>
      </c>
      <c r="AC47">
        <f>SUM($AB$2:AB47)</f>
        <v>9.9905192465928749</v>
      </c>
      <c r="AD47">
        <f t="shared" si="16"/>
        <v>0.21718520101288857</v>
      </c>
      <c r="AE47">
        <v>46</v>
      </c>
      <c r="AG47">
        <v>120</v>
      </c>
      <c r="AH47">
        <f t="shared" si="8"/>
        <v>0.59405940594059403</v>
      </c>
      <c r="AI47">
        <f t="shared" si="9"/>
        <v>2.0791812460476247</v>
      </c>
      <c r="AJ47">
        <f t="shared" si="17"/>
        <v>0.40594059405940597</v>
      </c>
      <c r="AK47">
        <f>SUM($AJ$2:AJ47)</f>
        <v>12.831683168316834</v>
      </c>
      <c r="AL47">
        <f t="shared" si="18"/>
        <v>0.27894963409384421</v>
      </c>
      <c r="AM47">
        <v>46</v>
      </c>
    </row>
    <row r="48" spans="1:39" x14ac:dyDescent="0.25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3"/>
        <v>1.8902346663063563</v>
      </c>
      <c r="U48">
        <f>SUM($T$2:T48)</f>
        <v>28.638822579930647</v>
      </c>
      <c r="V48">
        <f t="shared" si="14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5"/>
        <v>0.33945926650273828</v>
      </c>
      <c r="AC48">
        <f>SUM($AB$2:AB48)</f>
        <v>10.329978513095613</v>
      </c>
      <c r="AD48">
        <f t="shared" si="16"/>
        <v>0.21978677687437473</v>
      </c>
      <c r="AE48">
        <v>47</v>
      </c>
      <c r="AG48">
        <v>119</v>
      </c>
      <c r="AH48">
        <f t="shared" si="8"/>
        <v>0.58910891089108908</v>
      </c>
      <c r="AI48">
        <f t="shared" si="9"/>
        <v>2.0755469613925306</v>
      </c>
      <c r="AJ48">
        <f t="shared" si="17"/>
        <v>0.41089108910891092</v>
      </c>
      <c r="AK48">
        <f>SUM($AJ$2:AJ48)</f>
        <v>13.242574257425746</v>
      </c>
      <c r="AL48">
        <f t="shared" si="18"/>
        <v>0.28175689909416479</v>
      </c>
      <c r="AM48">
        <v>47</v>
      </c>
    </row>
    <row r="49" spans="17:39" x14ac:dyDescent="0.25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3"/>
        <v>1.9523825730552009</v>
      </c>
      <c r="U49">
        <f>SUM($T$2:T49)</f>
        <v>30.591205152985847</v>
      </c>
      <c r="V49">
        <f t="shared" si="14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5"/>
        <v>0.34809363602693999</v>
      </c>
      <c r="AC49">
        <f>SUM($AB$2:AB49)</f>
        <v>10.678072149122553</v>
      </c>
      <c r="AD49">
        <f t="shared" si="16"/>
        <v>0.22245983644005318</v>
      </c>
      <c r="AE49">
        <v>48</v>
      </c>
      <c r="AG49">
        <v>118</v>
      </c>
      <c r="AH49">
        <f t="shared" si="8"/>
        <v>0.58415841584158412</v>
      </c>
      <c r="AI49">
        <f t="shared" si="9"/>
        <v>2.0718820073061255</v>
      </c>
      <c r="AJ49">
        <f t="shared" si="17"/>
        <v>0.41584158415841588</v>
      </c>
      <c r="AK49">
        <f>SUM($AJ$2:AJ49)</f>
        <v>13.658415841584162</v>
      </c>
      <c r="AL49">
        <f t="shared" si="18"/>
        <v>0.2845503300330034</v>
      </c>
      <c r="AM49">
        <v>48</v>
      </c>
    </row>
    <row r="50" spans="17:39" x14ac:dyDescent="0.25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3"/>
        <v>2.0249332402038123</v>
      </c>
      <c r="U50">
        <f>SUM($T$2:T50)</f>
        <v>32.616138393189658</v>
      </c>
      <c r="V50">
        <f t="shared" si="14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5"/>
        <v>0.36047761714224524</v>
      </c>
      <c r="AC50">
        <f>SUM($AB$2:AB50)</f>
        <v>11.038549766264797</v>
      </c>
      <c r="AD50">
        <f t="shared" si="16"/>
        <v>0.22527652584213873</v>
      </c>
      <c r="AE50">
        <v>49</v>
      </c>
      <c r="AG50">
        <v>117</v>
      </c>
      <c r="AH50">
        <f t="shared" si="8"/>
        <v>0.57920792079207917</v>
      </c>
      <c r="AI50">
        <f t="shared" si="9"/>
        <v>2.0681858617461617</v>
      </c>
      <c r="AJ50">
        <f t="shared" si="17"/>
        <v>0.42079207920792083</v>
      </c>
      <c r="AK50">
        <f>SUM($AJ$2:AJ50)</f>
        <v>14.079207920792083</v>
      </c>
      <c r="AL50">
        <f t="shared" si="18"/>
        <v>0.28733077389371597</v>
      </c>
      <c r="AM50">
        <v>49</v>
      </c>
    </row>
    <row r="51" spans="17:39" x14ac:dyDescent="0.25">
      <c r="Q51">
        <v>10</v>
      </c>
      <c r="R51">
        <f t="shared" si="4"/>
        <v>8.5836909871244635E-3</v>
      </c>
      <c r="S51">
        <f t="shared" si="5"/>
        <v>1</v>
      </c>
      <c r="T51">
        <f t="shared" si="13"/>
        <v>2.0663259253620376</v>
      </c>
      <c r="U51">
        <f>SUM($T$2:T51)</f>
        <v>34.682464318551695</v>
      </c>
      <c r="V51">
        <f t="shared" si="14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5"/>
        <v>0.36227594054780798</v>
      </c>
      <c r="AC51">
        <f>SUM($AB$2:AB51)</f>
        <v>11.400825706812604</v>
      </c>
      <c r="AD51">
        <f t="shared" si="16"/>
        <v>0.2280165141362521</v>
      </c>
      <c r="AE51">
        <v>50</v>
      </c>
      <c r="AG51">
        <v>116</v>
      </c>
      <c r="AH51">
        <f t="shared" si="8"/>
        <v>0.57425742574257421</v>
      </c>
      <c r="AI51">
        <f t="shared" si="9"/>
        <v>2.0644579892269186</v>
      </c>
      <c r="AJ51">
        <f t="shared" si="17"/>
        <v>0.42574257425742579</v>
      </c>
      <c r="AK51">
        <f>SUM($AJ$2:AJ51)</f>
        <v>14.504950495049508</v>
      </c>
      <c r="AL51">
        <f t="shared" si="18"/>
        <v>0.29009900990099013</v>
      </c>
      <c r="AM51">
        <v>50</v>
      </c>
    </row>
    <row r="52" spans="17:39" x14ac:dyDescent="0.25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3"/>
        <v>2.2212278853477807</v>
      </c>
      <c r="U52">
        <f>SUM($T$2:T52)</f>
        <v>36.903692203899475</v>
      </c>
      <c r="V52">
        <f t="shared" si="14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5"/>
        <v>0.36227594054780798</v>
      </c>
      <c r="AC52">
        <f>SUM($AB$2:AB52)</f>
        <v>11.763101647360411</v>
      </c>
      <c r="AD52">
        <f t="shared" si="16"/>
        <v>0.23064905190902768</v>
      </c>
      <c r="AE52">
        <v>51</v>
      </c>
      <c r="AG52">
        <v>115</v>
      </c>
      <c r="AH52">
        <f t="shared" si="8"/>
        <v>0.56930693069306926</v>
      </c>
      <c r="AI52">
        <f t="shared" si="9"/>
        <v>2.0606978403536118</v>
      </c>
      <c r="AJ52">
        <f t="shared" si="17"/>
        <v>0.43069306930693074</v>
      </c>
      <c r="AK52">
        <f>SUM($AJ$2:AJ52)</f>
        <v>14.93564356435644</v>
      </c>
      <c r="AL52">
        <f t="shared" si="18"/>
        <v>0.29285575616385173</v>
      </c>
      <c r="AM52">
        <v>51</v>
      </c>
    </row>
    <row r="53" spans="17:39" x14ac:dyDescent="0.25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3"/>
        <v>2.3673559210260189</v>
      </c>
      <c r="U53">
        <f>SUM($T$2:T53)</f>
        <v>39.271048124925493</v>
      </c>
      <c r="V53">
        <f t="shared" si="14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5"/>
        <v>0.36771602606616449</v>
      </c>
      <c r="AC53">
        <f>SUM($AB$2:AB53)</f>
        <v>12.130817673426575</v>
      </c>
      <c r="AD53">
        <f t="shared" si="16"/>
        <v>0.23328495525820336</v>
      </c>
      <c r="AE53">
        <v>52</v>
      </c>
      <c r="AG53">
        <v>114</v>
      </c>
      <c r="AH53">
        <f t="shared" si="8"/>
        <v>0.5643564356435643</v>
      </c>
      <c r="AI53">
        <f t="shared" si="9"/>
        <v>2.0569048513364727</v>
      </c>
      <c r="AJ53">
        <f t="shared" si="17"/>
        <v>0.4356435643564357</v>
      </c>
      <c r="AK53">
        <f>SUM($AJ$2:AJ53)</f>
        <v>15.371287128712876</v>
      </c>
      <c r="AL53">
        <f t="shared" si="18"/>
        <v>0.29560167555217071</v>
      </c>
      <c r="AM53">
        <v>52</v>
      </c>
    </row>
    <row r="54" spans="17:39" x14ac:dyDescent="0.25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3"/>
        <v>2.4642659340340751</v>
      </c>
      <c r="U54">
        <f>SUM($T$2:T54)</f>
        <v>41.735314058959567</v>
      </c>
      <c r="V54">
        <f t="shared" si="14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5"/>
        <v>0.37322512085094006</v>
      </c>
      <c r="AC54">
        <f>SUM($AB$2:AB54)</f>
        <v>12.504042794277515</v>
      </c>
      <c r="AD54">
        <f t="shared" si="16"/>
        <v>0.23592533574108518</v>
      </c>
      <c r="AE54">
        <v>53</v>
      </c>
      <c r="AG54">
        <v>113</v>
      </c>
      <c r="AH54">
        <f t="shared" si="8"/>
        <v>0.55940594059405946</v>
      </c>
      <c r="AI54">
        <f t="shared" si="9"/>
        <v>2.0530784434834195</v>
      </c>
      <c r="AJ54">
        <f t="shared" si="17"/>
        <v>0.44059405940594054</v>
      </c>
      <c r="AK54">
        <f>SUM($AJ$2:AJ54)</f>
        <v>15.811881188118816</v>
      </c>
      <c r="AL54">
        <f t="shared" si="18"/>
        <v>0.29833738090790218</v>
      </c>
      <c r="AM54">
        <v>53</v>
      </c>
    </row>
    <row r="55" spans="17:39" x14ac:dyDescent="0.25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3"/>
        <v>2.4642659340340751</v>
      </c>
      <c r="U55">
        <f>SUM($T$2:T55)</f>
        <v>44.199579992993641</v>
      </c>
      <c r="V55">
        <f t="shared" si="14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5"/>
        <v>0.37322512085094006</v>
      </c>
      <c r="AC55">
        <f>SUM($AB$2:AB55)</f>
        <v>12.877267915128455</v>
      </c>
      <c r="AD55">
        <f t="shared" si="16"/>
        <v>0.23846792435423064</v>
      </c>
      <c r="AE55">
        <v>54</v>
      </c>
      <c r="AG55">
        <v>112</v>
      </c>
      <c r="AH55">
        <f t="shared" si="8"/>
        <v>0.5544554455445545</v>
      </c>
      <c r="AI55">
        <f t="shared" si="9"/>
        <v>2.0492180226701815</v>
      </c>
      <c r="AJ55">
        <f t="shared" si="17"/>
        <v>0.4455445544554455</v>
      </c>
      <c r="AK55">
        <f>SUM($AJ$2:AJ55)</f>
        <v>16.257425742574263</v>
      </c>
      <c r="AL55">
        <f t="shared" si="18"/>
        <v>0.30106343967730115</v>
      </c>
      <c r="AM55">
        <v>54</v>
      </c>
    </row>
    <row r="56" spans="17:39" x14ac:dyDescent="0.25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3"/>
        <v>2.589204670642375</v>
      </c>
      <c r="U56">
        <f>SUM($T$2:T56)</f>
        <v>46.788784663636015</v>
      </c>
      <c r="V56">
        <f t="shared" si="14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5"/>
        <v>0.38068100323053189</v>
      </c>
      <c r="AC56">
        <f>SUM($AB$2:AB56)</f>
        <v>13.257948918358986</v>
      </c>
      <c r="AD56">
        <f t="shared" si="16"/>
        <v>0.24105361669743611</v>
      </c>
      <c r="AE56">
        <v>55</v>
      </c>
      <c r="AG56">
        <v>111</v>
      </c>
      <c r="AH56">
        <f t="shared" si="8"/>
        <v>0.54950495049504955</v>
      </c>
      <c r="AI56">
        <f t="shared" si="9"/>
        <v>2.0453229787866576</v>
      </c>
      <c r="AJ56">
        <f t="shared" si="17"/>
        <v>0.45049504950495045</v>
      </c>
      <c r="AK56">
        <f>SUM($AJ$2:AJ56)</f>
        <v>16.707920792079214</v>
      </c>
      <c r="AL56">
        <f t="shared" si="18"/>
        <v>0.30378037803780389</v>
      </c>
      <c r="AM56">
        <v>55</v>
      </c>
    </row>
    <row r="57" spans="17:39" x14ac:dyDescent="0.25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3"/>
        <v>2.589204670642375</v>
      </c>
      <c r="U57">
        <f>SUM($T$2:T57)</f>
        <v>49.377989334278389</v>
      </c>
      <c r="V57">
        <f t="shared" si="14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5"/>
        <v>0.38256514710508327</v>
      </c>
      <c r="AC57">
        <f>SUM($AB$2:AB57)</f>
        <v>13.640514065464069</v>
      </c>
      <c r="AD57">
        <f t="shared" si="16"/>
        <v>0.24358060831185838</v>
      </c>
      <c r="AE57">
        <v>56</v>
      </c>
      <c r="AG57">
        <v>110</v>
      </c>
      <c r="AH57">
        <f t="shared" si="8"/>
        <v>0.54455445544554459</v>
      </c>
      <c r="AI57">
        <f t="shared" si="9"/>
        <v>2.0413926851582249</v>
      </c>
      <c r="AJ57">
        <f t="shared" si="17"/>
        <v>0.45544554455445541</v>
      </c>
      <c r="AK57">
        <f>SUM($AJ$2:AJ57)</f>
        <v>17.163366336633668</v>
      </c>
      <c r="AL57">
        <f t="shared" si="18"/>
        <v>0.30648868458274409</v>
      </c>
      <c r="AM57">
        <v>56</v>
      </c>
    </row>
    <row r="58" spans="17:39" x14ac:dyDescent="0.25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3"/>
        <v>2.7652959296980564</v>
      </c>
      <c r="U58">
        <f>SUM($T$2:T58)</f>
        <v>52.143285263976445</v>
      </c>
      <c r="V58">
        <f t="shared" si="14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5"/>
        <v>0.39598812007451567</v>
      </c>
      <c r="AC58">
        <f>SUM($AB$2:AB58)</f>
        <v>14.036502185538584</v>
      </c>
      <c r="AD58">
        <f t="shared" si="16"/>
        <v>0.24625442430769445</v>
      </c>
      <c r="AE58">
        <v>57</v>
      </c>
      <c r="AG58">
        <v>109</v>
      </c>
      <c r="AH58">
        <f t="shared" si="8"/>
        <v>0.53960396039603964</v>
      </c>
      <c r="AI58">
        <f t="shared" si="9"/>
        <v>2.0374264979406238</v>
      </c>
      <c r="AJ58">
        <f t="shared" si="17"/>
        <v>0.46039603960396036</v>
      </c>
      <c r="AK58">
        <f>SUM($AJ$2:AJ58)</f>
        <v>17.623762376237629</v>
      </c>
      <c r="AL58">
        <f t="shared" si="18"/>
        <v>0.30918881361820399</v>
      </c>
      <c r="AM58">
        <v>57</v>
      </c>
    </row>
    <row r="59" spans="17:39" x14ac:dyDescent="0.25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3"/>
        <v>2.7652959296980564</v>
      </c>
      <c r="U59">
        <f>SUM($T$2:T59)</f>
        <v>54.9085811936745</v>
      </c>
      <c r="V59">
        <f t="shared" si="14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5"/>
        <v>0.43679694520946333</v>
      </c>
      <c r="AC59">
        <f>SUM($AB$2:AB59)</f>
        <v>14.473299130748048</v>
      </c>
      <c r="AD59">
        <f t="shared" si="16"/>
        <v>0.24953964018531116</v>
      </c>
      <c r="AE59">
        <v>58</v>
      </c>
      <c r="AG59">
        <v>108</v>
      </c>
      <c r="AH59">
        <f t="shared" si="8"/>
        <v>0.53465346534653468</v>
      </c>
      <c r="AI59">
        <f t="shared" si="9"/>
        <v>2.0334237554869499</v>
      </c>
      <c r="AJ59">
        <f t="shared" si="17"/>
        <v>0.46534653465346532</v>
      </c>
      <c r="AK59">
        <f>SUM($AJ$2:AJ59)</f>
        <v>18.089108910891095</v>
      </c>
      <c r="AL59">
        <f t="shared" si="18"/>
        <v>0.31188118811881199</v>
      </c>
      <c r="AM59">
        <v>58</v>
      </c>
    </row>
    <row r="60" spans="17:39" x14ac:dyDescent="0.25">
      <c r="Q60">
        <v>1</v>
      </c>
      <c r="R60">
        <f t="shared" si="4"/>
        <v>8.5836909871244631E-4</v>
      </c>
      <c r="S60">
        <f t="shared" si="5"/>
        <v>0</v>
      </c>
      <c r="T60">
        <f t="shared" si="13"/>
        <v>3.0663259253620376</v>
      </c>
      <c r="U60">
        <f>SUM($T$2:T60)</f>
        <v>57.974907119036537</v>
      </c>
      <c r="V60">
        <f t="shared" si="14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5"/>
        <v>0.44326298745869508</v>
      </c>
      <c r="AC60">
        <f>SUM($AB$2:AB60)</f>
        <v>14.916562118206743</v>
      </c>
      <c r="AD60">
        <f t="shared" si="16"/>
        <v>0.25282308674926685</v>
      </c>
      <c r="AE60">
        <v>59</v>
      </c>
      <c r="AG60">
        <v>107</v>
      </c>
      <c r="AH60">
        <f t="shared" si="8"/>
        <v>0.52970297029702973</v>
      </c>
      <c r="AI60">
        <f t="shared" si="9"/>
        <v>2.0293837776852097</v>
      </c>
      <c r="AJ60">
        <f t="shared" si="17"/>
        <v>0.47029702970297027</v>
      </c>
      <c r="AK60">
        <f>SUM($AJ$2:AJ60)</f>
        <v>18.559405940594065</v>
      </c>
      <c r="AL60">
        <f t="shared" si="18"/>
        <v>0.31456620238295024</v>
      </c>
      <c r="AM60">
        <v>59</v>
      </c>
    </row>
    <row r="61" spans="17:39" x14ac:dyDescent="0.25">
      <c r="Q61">
        <v>1</v>
      </c>
      <c r="R61">
        <f t="shared" si="4"/>
        <v>8.5836909871244631E-4</v>
      </c>
      <c r="S61">
        <f t="shared" si="5"/>
        <v>0</v>
      </c>
      <c r="T61">
        <f t="shared" si="13"/>
        <v>3.0663259253620376</v>
      </c>
      <c r="U61">
        <f>SUM($T$2:T61)</f>
        <v>61.041233044398574</v>
      </c>
      <c r="V61">
        <f t="shared" si="14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5"/>
        <v>0.46783117894943205</v>
      </c>
      <c r="AC61">
        <f>SUM($AB$2:AB61)</f>
        <v>15.384393297156175</v>
      </c>
      <c r="AD61">
        <f t="shared" si="16"/>
        <v>0.25640655495260289</v>
      </c>
      <c r="AE61">
        <v>60</v>
      </c>
      <c r="AG61">
        <v>106</v>
      </c>
      <c r="AH61">
        <f t="shared" si="8"/>
        <v>0.52475247524752477</v>
      </c>
      <c r="AI61">
        <f t="shared" si="9"/>
        <v>2.0253058652647704</v>
      </c>
      <c r="AJ61">
        <f t="shared" si="17"/>
        <v>0.47524752475247523</v>
      </c>
      <c r="AK61">
        <f>SUM($AJ$2:AJ61)</f>
        <v>19.03465346534654</v>
      </c>
      <c r="AL61">
        <f t="shared" si="18"/>
        <v>0.31724422442244232</v>
      </c>
      <c r="AM61">
        <v>60</v>
      </c>
    </row>
    <row r="62" spans="17:39" x14ac:dyDescent="0.25">
      <c r="Q62">
        <v>1</v>
      </c>
      <c r="R62">
        <f t="shared" si="4"/>
        <v>8.5836909871244631E-4</v>
      </c>
      <c r="S62">
        <f t="shared" si="5"/>
        <v>0</v>
      </c>
      <c r="T62">
        <f t="shared" si="13"/>
        <v>3.0663259253620376</v>
      </c>
      <c r="U62">
        <f>SUM($T$2:T62)</f>
        <v>64.107558969760618</v>
      </c>
      <c r="V62">
        <f t="shared" si="14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5"/>
        <v>0.4701351338589963</v>
      </c>
      <c r="AC62">
        <f>SUM($AB$2:AB62)</f>
        <v>15.85452843101517</v>
      </c>
      <c r="AD62">
        <f t="shared" si="16"/>
        <v>0.25991030214778965</v>
      </c>
      <c r="AE62">
        <v>61</v>
      </c>
      <c r="AG62">
        <v>105</v>
      </c>
      <c r="AH62">
        <f t="shared" si="8"/>
        <v>0.51980198019801982</v>
      </c>
      <c r="AI62">
        <f t="shared" si="9"/>
        <v>2.0211892990699383</v>
      </c>
      <c r="AJ62">
        <f t="shared" si="17"/>
        <v>0.48019801980198018</v>
      </c>
      <c r="AK62">
        <f>SUM($AJ$2:AJ62)</f>
        <v>19.514851485148519</v>
      </c>
      <c r="AL62">
        <f t="shared" si="18"/>
        <v>0.31991559811718884</v>
      </c>
      <c r="AM62">
        <v>61</v>
      </c>
    </row>
    <row r="63" spans="17:39" x14ac:dyDescent="0.25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5"/>
        <v>0.48422159513760166</v>
      </c>
      <c r="AC63">
        <f>SUM($AB$2:AB63)</f>
        <v>16.338750026152773</v>
      </c>
      <c r="AD63">
        <f t="shared" si="16"/>
        <v>0.26352822622827055</v>
      </c>
      <c r="AE63">
        <v>62</v>
      </c>
      <c r="AG63">
        <v>104</v>
      </c>
      <c r="AH63">
        <f t="shared" si="8"/>
        <v>0.51485148514851486</v>
      </c>
      <c r="AI63">
        <f t="shared" si="9"/>
        <v>2.0170333392987803</v>
      </c>
      <c r="AJ63">
        <f t="shared" si="17"/>
        <v>0.48514851485148514</v>
      </c>
      <c r="AK63">
        <f>SUM($AJ$2:AJ63)</f>
        <v>20.000000000000004</v>
      </c>
      <c r="AL63">
        <f t="shared" si="18"/>
        <v>0.32258064516129037</v>
      </c>
      <c r="AM63">
        <v>62</v>
      </c>
    </row>
    <row r="64" spans="17:39" x14ac:dyDescent="0.25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5"/>
        <v>0.48902047801937032</v>
      </c>
      <c r="AC64">
        <f>SUM($AB$2:AB64)</f>
        <v>16.827770504172143</v>
      </c>
      <c r="AD64">
        <f t="shared" si="16"/>
        <v>0.26710746832019278</v>
      </c>
      <c r="AE64">
        <v>63</v>
      </c>
      <c r="AG64">
        <v>103</v>
      </c>
      <c r="AH64">
        <f t="shared" si="8"/>
        <v>0.50990099009900991</v>
      </c>
      <c r="AI64">
        <f t="shared" si="9"/>
        <v>2.012837224705172</v>
      </c>
      <c r="AJ64">
        <f t="shared" si="17"/>
        <v>0.49009900990099009</v>
      </c>
      <c r="AK64">
        <f>SUM($AJ$2:AJ64)</f>
        <v>20.490099009900995</v>
      </c>
      <c r="AL64">
        <f t="shared" si="18"/>
        <v>0.32523966682382532</v>
      </c>
      <c r="AM64">
        <v>63</v>
      </c>
    </row>
    <row r="65" spans="25:39" x14ac:dyDescent="0.25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5"/>
        <v>0.49143995214278302</v>
      </c>
      <c r="AC65">
        <f>SUM($AB$2:AB65)</f>
        <v>17.319210456314927</v>
      </c>
      <c r="AD65">
        <f t="shared" si="16"/>
        <v>0.27061266337992074</v>
      </c>
      <c r="AE65">
        <v>64</v>
      </c>
      <c r="AG65">
        <v>102</v>
      </c>
      <c r="AH65">
        <f t="shared" si="8"/>
        <v>0.50495049504950495</v>
      </c>
      <c r="AI65">
        <f t="shared" si="9"/>
        <v>2.0086001717619175</v>
      </c>
      <c r="AJ65">
        <f t="shared" si="17"/>
        <v>0.49504950495049505</v>
      </c>
      <c r="AK65">
        <f>SUM($AJ$2:AJ65)</f>
        <v>20.985148514851488</v>
      </c>
      <c r="AL65">
        <f t="shared" si="18"/>
        <v>0.3278929455445545</v>
      </c>
      <c r="AM65">
        <v>64</v>
      </c>
    </row>
    <row r="66" spans="25:39" x14ac:dyDescent="0.25">
      <c r="Y66">
        <v>174</v>
      </c>
      <c r="Z66">
        <f t="shared" ref="Z66:Z129" si="20">Y66/MAX($Y$1:$Y$157)</f>
        <v>0.31351351351351353</v>
      </c>
      <c r="AA66">
        <f t="shared" ref="AA66:AA129" si="21">LOG(Y66)</f>
        <v>2.2405492482825999</v>
      </c>
      <c r="AB66">
        <f t="shared" si="15"/>
        <v>0.5037437348400764</v>
      </c>
      <c r="AC66">
        <f>SUM($AB$2:AB66)</f>
        <v>17.822954191155002</v>
      </c>
      <c r="AD66">
        <f t="shared" si="16"/>
        <v>0.27419929524853848</v>
      </c>
      <c r="AE66">
        <v>65</v>
      </c>
      <c r="AG66">
        <v>101</v>
      </c>
      <c r="AH66">
        <f t="shared" ref="AH66:AH129" si="22">AG66/MAX($AG$1:$AG$156)</f>
        <v>0.5</v>
      </c>
      <c r="AI66">
        <f t="shared" ref="AI66:AI129" si="23">LOG(AG66)</f>
        <v>2.0043213737826426</v>
      </c>
      <c r="AJ66">
        <f t="shared" si="17"/>
        <v>0.5</v>
      </c>
      <c r="AK66">
        <f>SUM($AJ$2:AJ66)</f>
        <v>21.485148514851488</v>
      </c>
      <c r="AL66">
        <f t="shared" si="18"/>
        <v>0.33054074638233061</v>
      </c>
      <c r="AM66">
        <v>65</v>
      </c>
    </row>
    <row r="67" spans="25:39" x14ac:dyDescent="0.25">
      <c r="Y67">
        <v>168</v>
      </c>
      <c r="Z67">
        <f t="shared" si="20"/>
        <v>0.30270270270270272</v>
      </c>
      <c r="AA67">
        <f t="shared" si="21"/>
        <v>2.2253092817258628</v>
      </c>
      <c r="AB67">
        <f t="shared" ref="AB67:AB130" si="24">$AA$1-AA67</f>
        <v>0.51898370139681349</v>
      </c>
      <c r="AC67">
        <f>SUM($AB$2:AB67)</f>
        <v>18.341937892551815</v>
      </c>
      <c r="AD67">
        <f t="shared" ref="AD67:AD130" si="25">AC67/AE67</f>
        <v>0.27790814988714874</v>
      </c>
      <c r="AE67">
        <v>66</v>
      </c>
      <c r="AG67">
        <v>100</v>
      </c>
      <c r="AH67">
        <f t="shared" si="22"/>
        <v>0.49504950495049505</v>
      </c>
      <c r="AI67">
        <f t="shared" si="23"/>
        <v>2</v>
      </c>
      <c r="AJ67">
        <f t="shared" ref="AJ67:AJ130" si="26">$AH$1-AH67</f>
        <v>0.50495049504950495</v>
      </c>
      <c r="AK67">
        <f>SUM($AJ$2:AJ67)</f>
        <v>21.990099009900995</v>
      </c>
      <c r="AL67">
        <f t="shared" ref="AL67:AL130" si="27">AK67/AM67</f>
        <v>0.33318331833183323</v>
      </c>
      <c r="AM67">
        <v>66</v>
      </c>
    </row>
    <row r="68" spans="25:39" x14ac:dyDescent="0.25">
      <c r="Y68">
        <v>156</v>
      </c>
      <c r="Z68">
        <f t="shared" si="20"/>
        <v>0.2810810810810811</v>
      </c>
      <c r="AA68">
        <f t="shared" si="21"/>
        <v>2.1931245983544616</v>
      </c>
      <c r="AB68">
        <f t="shared" si="24"/>
        <v>0.55116838476821473</v>
      </c>
      <c r="AC68">
        <f>SUM($AB$2:AB68)</f>
        <v>18.89310627732003</v>
      </c>
      <c r="AD68">
        <f t="shared" si="25"/>
        <v>0.28198666085552282</v>
      </c>
      <c r="AE68">
        <v>67</v>
      </c>
      <c r="AG68">
        <v>99</v>
      </c>
      <c r="AH68">
        <f t="shared" si="22"/>
        <v>0.49009900990099009</v>
      </c>
      <c r="AI68">
        <f t="shared" si="23"/>
        <v>1.9956351945975499</v>
      </c>
      <c r="AJ68">
        <f t="shared" si="26"/>
        <v>0.50990099009900991</v>
      </c>
      <c r="AK68">
        <f>SUM($AJ$2:AJ68)</f>
        <v>22.500000000000004</v>
      </c>
      <c r="AL68">
        <f t="shared" si="27"/>
        <v>0.33582089552238809</v>
      </c>
      <c r="AM68">
        <v>67</v>
      </c>
    </row>
    <row r="69" spans="25:39" x14ac:dyDescent="0.25">
      <c r="Y69">
        <v>154</v>
      </c>
      <c r="Z69">
        <f t="shared" si="20"/>
        <v>0.27747747747747747</v>
      </c>
      <c r="AA69">
        <f t="shared" si="21"/>
        <v>2.1875207208364631</v>
      </c>
      <c r="AB69">
        <f t="shared" si="24"/>
        <v>0.55677226228621324</v>
      </c>
      <c r="AC69">
        <f>SUM($AB$2:AB69)</f>
        <v>19.449878539606242</v>
      </c>
      <c r="AD69">
        <f t="shared" si="25"/>
        <v>0.28602762558244477</v>
      </c>
      <c r="AE69">
        <v>68</v>
      </c>
      <c r="AG69">
        <v>98</v>
      </c>
      <c r="AH69">
        <f t="shared" si="22"/>
        <v>0.48514851485148514</v>
      </c>
      <c r="AI69">
        <f t="shared" si="23"/>
        <v>1.9912260756924949</v>
      </c>
      <c r="AJ69">
        <f t="shared" si="26"/>
        <v>0.51485148514851486</v>
      </c>
      <c r="AK69">
        <f>SUM($AJ$2:AJ69)</f>
        <v>23.014851485148519</v>
      </c>
      <c r="AL69">
        <f t="shared" si="27"/>
        <v>0.33845369831100763</v>
      </c>
      <c r="AM69">
        <v>68</v>
      </c>
    </row>
    <row r="70" spans="25:39" x14ac:dyDescent="0.25">
      <c r="Y70">
        <v>149</v>
      </c>
      <c r="Z70">
        <f t="shared" si="20"/>
        <v>0.26846846846846845</v>
      </c>
      <c r="AA70">
        <f t="shared" si="21"/>
        <v>2.173186268412274</v>
      </c>
      <c r="AB70">
        <f t="shared" si="24"/>
        <v>0.57110671471040231</v>
      </c>
      <c r="AC70">
        <f>SUM($AB$2:AB70)</f>
        <v>20.020985254316646</v>
      </c>
      <c r="AD70">
        <f t="shared" si="25"/>
        <v>0.29015920658429922</v>
      </c>
      <c r="AE70">
        <v>69</v>
      </c>
      <c r="AG70">
        <v>97</v>
      </c>
      <c r="AH70">
        <f t="shared" si="22"/>
        <v>0.48019801980198018</v>
      </c>
      <c r="AI70">
        <f t="shared" si="23"/>
        <v>1.9867717342662448</v>
      </c>
      <c r="AJ70">
        <f t="shared" si="26"/>
        <v>0.51980198019801982</v>
      </c>
      <c r="AK70">
        <f>SUM($AJ$2:AJ70)</f>
        <v>23.534653465346537</v>
      </c>
      <c r="AL70">
        <f t="shared" si="27"/>
        <v>0.34108193428038458</v>
      </c>
      <c r="AM70">
        <v>69</v>
      </c>
    </row>
    <row r="71" spans="25:39" x14ac:dyDescent="0.25">
      <c r="Y71">
        <v>144</v>
      </c>
      <c r="Z71">
        <f t="shared" si="20"/>
        <v>0.25945945945945947</v>
      </c>
      <c r="AA71">
        <f t="shared" si="21"/>
        <v>2.1583624920952498</v>
      </c>
      <c r="AB71">
        <f t="shared" si="24"/>
        <v>0.58593049102742656</v>
      </c>
      <c r="AC71">
        <f>SUM($AB$2:AB71)</f>
        <v>20.606915745344072</v>
      </c>
      <c r="AD71">
        <f t="shared" si="25"/>
        <v>0.29438451064777243</v>
      </c>
      <c r="AE71">
        <v>70</v>
      </c>
      <c r="AG71">
        <v>96</v>
      </c>
      <c r="AH71">
        <f t="shared" si="22"/>
        <v>0.47524752475247523</v>
      </c>
      <c r="AI71">
        <f t="shared" si="23"/>
        <v>1.9822712330395684</v>
      </c>
      <c r="AJ71">
        <f t="shared" si="26"/>
        <v>0.52475247524752477</v>
      </c>
      <c r="AK71">
        <f>SUM($AJ$2:AJ71)</f>
        <v>24.059405940594061</v>
      </c>
      <c r="AL71">
        <f t="shared" si="27"/>
        <v>0.34370579915134375</v>
      </c>
      <c r="AM71">
        <v>70</v>
      </c>
    </row>
    <row r="72" spans="25:39" x14ac:dyDescent="0.25">
      <c r="Y72">
        <v>140</v>
      </c>
      <c r="Z72">
        <f t="shared" si="20"/>
        <v>0.25225225225225223</v>
      </c>
      <c r="AA72">
        <f t="shared" si="21"/>
        <v>2.1461280356782382</v>
      </c>
      <c r="AB72">
        <f t="shared" si="24"/>
        <v>0.59816494744443816</v>
      </c>
      <c r="AC72">
        <f>SUM($AB$2:AB72)</f>
        <v>21.20508069278851</v>
      </c>
      <c r="AD72">
        <f t="shared" si="25"/>
        <v>0.29866310834913395</v>
      </c>
      <c r="AE72">
        <v>71</v>
      </c>
      <c r="AG72">
        <v>95</v>
      </c>
      <c r="AH72">
        <f t="shared" si="22"/>
        <v>0.47029702970297027</v>
      </c>
      <c r="AI72">
        <f t="shared" si="23"/>
        <v>1.9777236052888478</v>
      </c>
      <c r="AJ72">
        <f t="shared" si="26"/>
        <v>0.52970297029702973</v>
      </c>
      <c r="AK72">
        <f>SUM($AJ$2:AJ72)</f>
        <v>24.589108910891092</v>
      </c>
      <c r="AL72">
        <f t="shared" si="27"/>
        <v>0.34632547761818439</v>
      </c>
      <c r="AM72">
        <v>71</v>
      </c>
    </row>
    <row r="73" spans="25:39" x14ac:dyDescent="0.25">
      <c r="Y73">
        <v>136</v>
      </c>
      <c r="Z73">
        <f t="shared" si="20"/>
        <v>0.24504504504504504</v>
      </c>
      <c r="AA73">
        <f t="shared" si="21"/>
        <v>2.1335389083702174</v>
      </c>
      <c r="AB73">
        <f t="shared" si="24"/>
        <v>0.61075407475245891</v>
      </c>
      <c r="AC73">
        <f>SUM($AB$2:AB73)</f>
        <v>21.81583476754097</v>
      </c>
      <c r="AD73">
        <f t="shared" si="25"/>
        <v>0.30299770510473567</v>
      </c>
      <c r="AE73">
        <v>72</v>
      </c>
      <c r="AG73">
        <v>94</v>
      </c>
      <c r="AH73">
        <f t="shared" si="22"/>
        <v>0.46534653465346537</v>
      </c>
      <c r="AI73">
        <f t="shared" si="23"/>
        <v>1.9731278535996986</v>
      </c>
      <c r="AJ73">
        <f t="shared" si="26"/>
        <v>0.53465346534653468</v>
      </c>
      <c r="AK73">
        <f>SUM($AJ$2:AJ73)</f>
        <v>25.123762376237625</v>
      </c>
      <c r="AL73">
        <f t="shared" si="27"/>
        <v>0.34894114411441146</v>
      </c>
      <c r="AM73">
        <v>72</v>
      </c>
    </row>
    <row r="74" spans="25:39" x14ac:dyDescent="0.25">
      <c r="Y74">
        <v>128</v>
      </c>
      <c r="Z74">
        <f t="shared" si="20"/>
        <v>0.23063063063063063</v>
      </c>
      <c r="AA74">
        <f t="shared" si="21"/>
        <v>2.1072099696478683</v>
      </c>
      <c r="AB74">
        <f t="shared" si="24"/>
        <v>0.637083013474808</v>
      </c>
      <c r="AC74">
        <f>SUM($AB$2:AB74)</f>
        <v>22.452917781015778</v>
      </c>
      <c r="AD74">
        <f t="shared" si="25"/>
        <v>0.30757421617829833</v>
      </c>
      <c r="AE74">
        <v>73</v>
      </c>
      <c r="AG74">
        <v>93</v>
      </c>
      <c r="AH74">
        <f t="shared" si="22"/>
        <v>0.46039603960396042</v>
      </c>
      <c r="AI74">
        <f t="shared" si="23"/>
        <v>1.968482948553935</v>
      </c>
      <c r="AJ74">
        <f t="shared" si="26"/>
        <v>0.53960396039603964</v>
      </c>
      <c r="AK74">
        <f>SUM($AJ$2:AJ74)</f>
        <v>25.663366336633665</v>
      </c>
      <c r="AL74">
        <f t="shared" si="27"/>
        <v>0.35155296351552967</v>
      </c>
      <c r="AM74">
        <v>73</v>
      </c>
    </row>
    <row r="75" spans="25:39" x14ac:dyDescent="0.25">
      <c r="Y75">
        <v>127</v>
      </c>
      <c r="Z75">
        <f t="shared" si="20"/>
        <v>0.22882882882882882</v>
      </c>
      <c r="AA75">
        <f t="shared" si="21"/>
        <v>2.1038037209559568</v>
      </c>
      <c r="AB75">
        <f t="shared" si="24"/>
        <v>0.64048926216671953</v>
      </c>
      <c r="AC75">
        <f>SUM($AB$2:AB75)</f>
        <v>23.093407043182498</v>
      </c>
      <c r="AD75">
        <f t="shared" si="25"/>
        <v>0.31207306815111485</v>
      </c>
      <c r="AE75">
        <v>74</v>
      </c>
      <c r="AG75">
        <v>92</v>
      </c>
      <c r="AH75">
        <f t="shared" si="22"/>
        <v>0.45544554455445546</v>
      </c>
      <c r="AI75">
        <f t="shared" si="23"/>
        <v>1.9637878273455553</v>
      </c>
      <c r="AJ75">
        <f t="shared" si="26"/>
        <v>0.54455445544554459</v>
      </c>
      <c r="AK75">
        <f>SUM($AJ$2:AJ75)</f>
        <v>26.207920792079211</v>
      </c>
      <c r="AL75">
        <f t="shared" si="27"/>
        <v>0.35416109178485422</v>
      </c>
      <c r="AM75">
        <v>74</v>
      </c>
    </row>
    <row r="76" spans="25:39" x14ac:dyDescent="0.25">
      <c r="Y76">
        <v>115</v>
      </c>
      <c r="Z76">
        <f t="shared" si="20"/>
        <v>0.2072072072072072</v>
      </c>
      <c r="AA76">
        <f t="shared" si="21"/>
        <v>2.0606978403536118</v>
      </c>
      <c r="AB76">
        <f t="shared" si="24"/>
        <v>0.68359514276906452</v>
      </c>
      <c r="AC76">
        <f>SUM($AB$2:AB76)</f>
        <v>23.777002185951563</v>
      </c>
      <c r="AD76">
        <f t="shared" si="25"/>
        <v>0.3170266958126875</v>
      </c>
      <c r="AE76">
        <v>75</v>
      </c>
      <c r="AG76">
        <v>91</v>
      </c>
      <c r="AH76">
        <f t="shared" si="22"/>
        <v>0.45049504950495051</v>
      </c>
      <c r="AI76">
        <f t="shared" si="23"/>
        <v>1.9590413923210936</v>
      </c>
      <c r="AJ76">
        <f t="shared" si="26"/>
        <v>0.54950495049504955</v>
      </c>
      <c r="AK76">
        <f>SUM($AJ$2:AJ76)</f>
        <v>26.757425742574259</v>
      </c>
      <c r="AL76">
        <f t="shared" si="27"/>
        <v>0.35676567656765679</v>
      </c>
      <c r="AM76">
        <v>75</v>
      </c>
    </row>
    <row r="77" spans="25:39" x14ac:dyDescent="0.25">
      <c r="Y77">
        <v>106</v>
      </c>
      <c r="Z77">
        <f t="shared" si="20"/>
        <v>0.19099099099099098</v>
      </c>
      <c r="AA77">
        <f t="shared" si="21"/>
        <v>2.0253058652647704</v>
      </c>
      <c r="AB77">
        <f t="shared" si="24"/>
        <v>0.71898711785790592</v>
      </c>
      <c r="AC77">
        <f>SUM($AB$2:AB77)</f>
        <v>24.49598930380947</v>
      </c>
      <c r="AD77">
        <f t="shared" si="25"/>
        <v>0.3223156487343351</v>
      </c>
      <c r="AE77">
        <v>76</v>
      </c>
      <c r="AG77">
        <v>90</v>
      </c>
      <c r="AH77">
        <f t="shared" si="22"/>
        <v>0.44554455445544555</v>
      </c>
      <c r="AI77">
        <f t="shared" si="23"/>
        <v>1.954242509439325</v>
      </c>
      <c r="AJ77">
        <f t="shared" si="26"/>
        <v>0.5544554455445545</v>
      </c>
      <c r="AK77">
        <f>SUM($AJ$2:AJ77)</f>
        <v>27.311881188118814</v>
      </c>
      <c r="AL77">
        <f t="shared" si="27"/>
        <v>0.35936685773840543</v>
      </c>
      <c r="AM77">
        <v>76</v>
      </c>
    </row>
    <row r="78" spans="25:39" x14ac:dyDescent="0.25">
      <c r="Y78">
        <v>99</v>
      </c>
      <c r="Z78">
        <f t="shared" si="20"/>
        <v>0.17837837837837839</v>
      </c>
      <c r="AA78">
        <f t="shared" si="21"/>
        <v>1.9956351945975499</v>
      </c>
      <c r="AB78">
        <f t="shared" si="24"/>
        <v>0.74865778852512643</v>
      </c>
      <c r="AC78">
        <f>SUM($AB$2:AB78)</f>
        <v>25.244647092334596</v>
      </c>
      <c r="AD78">
        <f t="shared" si="25"/>
        <v>0.32785255964070903</v>
      </c>
      <c r="AE78">
        <v>77</v>
      </c>
      <c r="AG78">
        <v>89</v>
      </c>
      <c r="AH78">
        <f t="shared" si="22"/>
        <v>0.4405940594059406</v>
      </c>
      <c r="AI78">
        <f t="shared" si="23"/>
        <v>1.9493900066449128</v>
      </c>
      <c r="AJ78">
        <f t="shared" si="26"/>
        <v>0.55940594059405946</v>
      </c>
      <c r="AK78">
        <f>SUM($AJ$2:AJ78)</f>
        <v>27.871287128712872</v>
      </c>
      <c r="AL78">
        <f t="shared" si="27"/>
        <v>0.36196476790536197</v>
      </c>
      <c r="AM78">
        <v>77</v>
      </c>
    </row>
    <row r="79" spans="25:39" x14ac:dyDescent="0.25">
      <c r="Y79">
        <v>96</v>
      </c>
      <c r="Z79">
        <f t="shared" si="20"/>
        <v>0.17297297297297298</v>
      </c>
      <c r="AA79">
        <f t="shared" si="21"/>
        <v>1.9822712330395684</v>
      </c>
      <c r="AB79">
        <f t="shared" si="24"/>
        <v>0.76202175008310791</v>
      </c>
      <c r="AC79">
        <f>SUM($AB$2:AB79)</f>
        <v>26.006668842417703</v>
      </c>
      <c r="AD79">
        <f t="shared" si="25"/>
        <v>0.33341883131304745</v>
      </c>
      <c r="AE79">
        <v>78</v>
      </c>
      <c r="AG79">
        <v>88</v>
      </c>
      <c r="AH79">
        <f t="shared" si="22"/>
        <v>0.43564356435643564</v>
      </c>
      <c r="AI79">
        <f t="shared" si="23"/>
        <v>1.9444826721501687</v>
      </c>
      <c r="AJ79">
        <f t="shared" si="26"/>
        <v>0.56435643564356441</v>
      </c>
      <c r="AK79">
        <f>SUM($AJ$2:AJ79)</f>
        <v>28.435643564356436</v>
      </c>
      <c r="AL79">
        <f t="shared" si="27"/>
        <v>0.36455953287636456</v>
      </c>
      <c r="AM79">
        <v>78</v>
      </c>
    </row>
    <row r="80" spans="25:39" x14ac:dyDescent="0.25">
      <c r="Y80">
        <v>90</v>
      </c>
      <c r="Z80">
        <f t="shared" si="20"/>
        <v>0.16216216216216217</v>
      </c>
      <c r="AA80">
        <f t="shared" si="21"/>
        <v>1.954242509439325</v>
      </c>
      <c r="AB80">
        <f t="shared" si="24"/>
        <v>0.79005047368335135</v>
      </c>
      <c r="AC80">
        <f>SUM($AB$2:AB80)</f>
        <v>26.796719316101054</v>
      </c>
      <c r="AD80">
        <f t="shared" si="25"/>
        <v>0.33919897868482346</v>
      </c>
      <c r="AE80">
        <v>79</v>
      </c>
      <c r="AG80">
        <v>87</v>
      </c>
      <c r="AH80">
        <f t="shared" si="22"/>
        <v>0.43069306930693069</v>
      </c>
      <c r="AI80">
        <f t="shared" si="23"/>
        <v>1.9395192526186185</v>
      </c>
      <c r="AJ80">
        <f t="shared" si="26"/>
        <v>0.56930693069306937</v>
      </c>
      <c r="AK80">
        <f>SUM($AJ$2:AJ80)</f>
        <v>29.004950495049506</v>
      </c>
      <c r="AL80">
        <f t="shared" si="27"/>
        <v>0.36715127208923426</v>
      </c>
      <c r="AM80">
        <v>79</v>
      </c>
    </row>
    <row r="81" spans="25:39" x14ac:dyDescent="0.25">
      <c r="Y81">
        <v>87</v>
      </c>
      <c r="Z81">
        <f t="shared" si="20"/>
        <v>0.15675675675675677</v>
      </c>
      <c r="AA81">
        <f t="shared" si="21"/>
        <v>1.9395192526186185</v>
      </c>
      <c r="AB81">
        <f t="shared" si="24"/>
        <v>0.80477373050405787</v>
      </c>
      <c r="AC81">
        <f>SUM($AB$2:AB81)</f>
        <v>27.60149304660511</v>
      </c>
      <c r="AD81">
        <f t="shared" si="25"/>
        <v>0.3450186630825639</v>
      </c>
      <c r="AE81">
        <v>80</v>
      </c>
      <c r="AG81">
        <v>86</v>
      </c>
      <c r="AH81">
        <f t="shared" si="22"/>
        <v>0.42574257425742573</v>
      </c>
      <c r="AI81">
        <f t="shared" si="23"/>
        <v>1.9344984512435677</v>
      </c>
      <c r="AJ81">
        <f t="shared" si="26"/>
        <v>0.57425742574257432</v>
      </c>
      <c r="AK81">
        <f>SUM($AJ$2:AJ81)</f>
        <v>29.579207920792079</v>
      </c>
      <c r="AL81">
        <f t="shared" si="27"/>
        <v>0.36974009900990101</v>
      </c>
      <c r="AM81">
        <v>80</v>
      </c>
    </row>
    <row r="82" spans="25:39" x14ac:dyDescent="0.25">
      <c r="Y82">
        <v>86</v>
      </c>
      <c r="Z82">
        <f t="shared" si="20"/>
        <v>0.15495495495495495</v>
      </c>
      <c r="AA82">
        <f t="shared" si="21"/>
        <v>1.9344984512435677</v>
      </c>
      <c r="AB82">
        <f t="shared" si="24"/>
        <v>0.80979453187910866</v>
      </c>
      <c r="AC82">
        <f>SUM($AB$2:AB82)</f>
        <v>28.41128757848422</v>
      </c>
      <c r="AD82">
        <f t="shared" si="25"/>
        <v>0.35075663677141011</v>
      </c>
      <c r="AE82">
        <v>81</v>
      </c>
      <c r="AG82">
        <v>85</v>
      </c>
      <c r="AH82">
        <f t="shared" si="22"/>
        <v>0.42079207920792078</v>
      </c>
      <c r="AI82">
        <f t="shared" si="23"/>
        <v>1.9294189257142926</v>
      </c>
      <c r="AJ82">
        <f t="shared" si="26"/>
        <v>0.57920792079207928</v>
      </c>
      <c r="AK82">
        <f>SUM($AJ$2:AJ82)</f>
        <v>30.158415841584159</v>
      </c>
      <c r="AL82">
        <f t="shared" si="27"/>
        <v>0.372326121501039</v>
      </c>
      <c r="AM82">
        <v>81</v>
      </c>
    </row>
    <row r="83" spans="25:39" x14ac:dyDescent="0.25">
      <c r="Y83">
        <v>79</v>
      </c>
      <c r="Z83">
        <f t="shared" si="20"/>
        <v>0.14234234234234233</v>
      </c>
      <c r="AA83">
        <f t="shared" si="21"/>
        <v>1.8976270912904414</v>
      </c>
      <c r="AB83">
        <f t="shared" si="24"/>
        <v>0.84666589183223495</v>
      </c>
      <c r="AC83">
        <f>SUM($AB$2:AB83)</f>
        <v>29.257953470316455</v>
      </c>
      <c r="AD83">
        <f t="shared" si="25"/>
        <v>0.35680431061361528</v>
      </c>
      <c r="AE83">
        <v>82</v>
      </c>
      <c r="AG83">
        <v>84</v>
      </c>
      <c r="AH83">
        <f t="shared" si="22"/>
        <v>0.41584158415841582</v>
      </c>
      <c r="AI83">
        <f t="shared" si="23"/>
        <v>1.9242792860618816</v>
      </c>
      <c r="AJ83">
        <f t="shared" si="26"/>
        <v>0.58415841584158423</v>
      </c>
      <c r="AK83">
        <f>SUM($AJ$2:AJ83)</f>
        <v>30.742574257425744</v>
      </c>
      <c r="AL83">
        <f t="shared" si="27"/>
        <v>0.37490944216372857</v>
      </c>
      <c r="AM83">
        <v>82</v>
      </c>
    </row>
    <row r="84" spans="25:39" x14ac:dyDescent="0.25">
      <c r="Y84">
        <v>70</v>
      </c>
      <c r="Z84">
        <f t="shared" si="20"/>
        <v>0.12612612612612611</v>
      </c>
      <c r="AA84">
        <f t="shared" si="21"/>
        <v>1.8450980400142569</v>
      </c>
      <c r="AB84">
        <f t="shared" si="24"/>
        <v>0.89919494310841941</v>
      </c>
      <c r="AC84">
        <f>SUM($AB$2:AB84)</f>
        <v>30.157148413424874</v>
      </c>
      <c r="AD84">
        <f t="shared" si="25"/>
        <v>0.36333913751114305</v>
      </c>
      <c r="AE84">
        <v>83</v>
      </c>
      <c r="AG84">
        <v>83</v>
      </c>
      <c r="AH84">
        <f t="shared" si="22"/>
        <v>0.41089108910891087</v>
      </c>
      <c r="AI84">
        <f t="shared" si="23"/>
        <v>1.919078092376074</v>
      </c>
      <c r="AJ84">
        <f t="shared" si="26"/>
        <v>0.58910891089108919</v>
      </c>
      <c r="AK84">
        <f>SUM($AJ$2:AJ84)</f>
        <v>31.331683168316832</v>
      </c>
      <c r="AL84">
        <f t="shared" si="27"/>
        <v>0.37749015865441965</v>
      </c>
      <c r="AM84">
        <v>83</v>
      </c>
    </row>
    <row r="85" spans="25:39" x14ac:dyDescent="0.25">
      <c r="Y85">
        <v>70</v>
      </c>
      <c r="Z85">
        <f t="shared" si="20"/>
        <v>0.12612612612612611</v>
      </c>
      <c r="AA85">
        <f t="shared" si="21"/>
        <v>1.8450980400142569</v>
      </c>
      <c r="AB85">
        <f t="shared" si="24"/>
        <v>0.89919494310841941</v>
      </c>
      <c r="AC85">
        <f>SUM($AB$2:AB85)</f>
        <v>31.056343356533294</v>
      </c>
      <c r="AD85">
        <f t="shared" si="25"/>
        <v>0.36971837329206303</v>
      </c>
      <c r="AE85">
        <v>84</v>
      </c>
      <c r="AG85">
        <v>82</v>
      </c>
      <c r="AH85">
        <f t="shared" si="22"/>
        <v>0.40594059405940597</v>
      </c>
      <c r="AI85">
        <f t="shared" si="23"/>
        <v>1.9138138523837167</v>
      </c>
      <c r="AJ85">
        <f t="shared" si="26"/>
        <v>0.59405940594059403</v>
      </c>
      <c r="AK85">
        <f>SUM($AJ$2:AJ85)</f>
        <v>31.925742574257427</v>
      </c>
      <c r="AL85">
        <f t="shared" si="27"/>
        <v>0.38006836397925509</v>
      </c>
      <c r="AM85">
        <v>84</v>
      </c>
    </row>
    <row r="86" spans="25:39" x14ac:dyDescent="0.25">
      <c r="Y86">
        <v>70</v>
      </c>
      <c r="Z86">
        <f t="shared" si="20"/>
        <v>0.12612612612612611</v>
      </c>
      <c r="AA86">
        <f t="shared" si="21"/>
        <v>1.8450980400142569</v>
      </c>
      <c r="AB86">
        <f t="shared" si="24"/>
        <v>0.89919494310841941</v>
      </c>
      <c r="AC86">
        <f>SUM($AB$2:AB86)</f>
        <v>31.955538299641713</v>
      </c>
      <c r="AD86">
        <f t="shared" si="25"/>
        <v>0.37594750940754956</v>
      </c>
      <c r="AE86">
        <v>85</v>
      </c>
      <c r="AG86">
        <v>81</v>
      </c>
      <c r="AH86">
        <f t="shared" si="22"/>
        <v>0.40099009900990101</v>
      </c>
      <c r="AI86">
        <f t="shared" si="23"/>
        <v>1.9084850188786497</v>
      </c>
      <c r="AJ86">
        <f t="shared" si="26"/>
        <v>0.59900990099009899</v>
      </c>
      <c r="AK86">
        <f>SUM($AJ$2:AJ86)</f>
        <v>32.524752475247524</v>
      </c>
      <c r="AL86">
        <f t="shared" si="27"/>
        <v>0.38264414676761793</v>
      </c>
      <c r="AM86">
        <v>85</v>
      </c>
    </row>
    <row r="87" spans="25:39" x14ac:dyDescent="0.25">
      <c r="Y87">
        <v>69</v>
      </c>
      <c r="Z87">
        <f t="shared" si="20"/>
        <v>0.12432432432432433</v>
      </c>
      <c r="AA87">
        <f t="shared" si="21"/>
        <v>1.8388490907372552</v>
      </c>
      <c r="AB87">
        <f t="shared" si="24"/>
        <v>0.90544389238542111</v>
      </c>
      <c r="AC87">
        <f>SUM($AB$2:AB87)</f>
        <v>32.860982192027137</v>
      </c>
      <c r="AD87">
        <f t="shared" si="25"/>
        <v>0.38210444409333882</v>
      </c>
      <c r="AE87">
        <v>86</v>
      </c>
      <c r="AG87">
        <v>80</v>
      </c>
      <c r="AH87">
        <f t="shared" si="22"/>
        <v>0.39603960396039606</v>
      </c>
      <c r="AI87">
        <f t="shared" si="23"/>
        <v>1.9030899869919435</v>
      </c>
      <c r="AJ87">
        <f t="shared" si="26"/>
        <v>0.60396039603960394</v>
      </c>
      <c r="AK87">
        <f>SUM($AJ$2:AJ87)</f>
        <v>33.128712871287128</v>
      </c>
      <c r="AL87">
        <f t="shared" si="27"/>
        <v>0.38521759152659452</v>
      </c>
      <c r="AM87">
        <v>86</v>
      </c>
    </row>
    <row r="88" spans="25:39" x14ac:dyDescent="0.25">
      <c r="Y88">
        <v>68</v>
      </c>
      <c r="Z88">
        <f t="shared" si="20"/>
        <v>0.12252252252252252</v>
      </c>
      <c r="AA88">
        <f t="shared" si="21"/>
        <v>1.8325089127062364</v>
      </c>
      <c r="AB88">
        <f t="shared" si="24"/>
        <v>0.91178407041643994</v>
      </c>
      <c r="AC88">
        <f>SUM($AB$2:AB88)</f>
        <v>33.772766262443575</v>
      </c>
      <c r="AD88">
        <f t="shared" si="25"/>
        <v>0.38819271566027097</v>
      </c>
      <c r="AE88">
        <v>87</v>
      </c>
      <c r="AG88">
        <v>79</v>
      </c>
      <c r="AH88">
        <f t="shared" si="22"/>
        <v>0.3910891089108911</v>
      </c>
      <c r="AI88">
        <f t="shared" si="23"/>
        <v>1.8976270912904414</v>
      </c>
      <c r="AJ88">
        <f t="shared" si="26"/>
        <v>0.6089108910891089</v>
      </c>
      <c r="AK88">
        <f>SUM($AJ$2:AJ88)</f>
        <v>33.737623762376238</v>
      </c>
      <c r="AL88">
        <f t="shared" si="27"/>
        <v>0.38778877887788782</v>
      </c>
      <c r="AM88">
        <v>87</v>
      </c>
    </row>
    <row r="89" spans="25:39" x14ac:dyDescent="0.25">
      <c r="Y89">
        <v>61</v>
      </c>
      <c r="Z89">
        <f t="shared" si="20"/>
        <v>0.10990990990990991</v>
      </c>
      <c r="AA89">
        <f t="shared" si="21"/>
        <v>1.7853298350107671</v>
      </c>
      <c r="AB89">
        <f t="shared" si="24"/>
        <v>0.95896314811190919</v>
      </c>
      <c r="AC89">
        <f>SUM($AB$2:AB89)</f>
        <v>34.731729410555488</v>
      </c>
      <c r="AD89">
        <f t="shared" si="25"/>
        <v>0.39467874330176689</v>
      </c>
      <c r="AE89">
        <v>88</v>
      </c>
      <c r="AG89">
        <v>78</v>
      </c>
      <c r="AH89">
        <f t="shared" si="22"/>
        <v>0.38613861386138615</v>
      </c>
      <c r="AI89">
        <f t="shared" si="23"/>
        <v>1.8920946026904804</v>
      </c>
      <c r="AJ89">
        <f t="shared" si="26"/>
        <v>0.61386138613861385</v>
      </c>
      <c r="AK89">
        <f>SUM($AJ$2:AJ89)</f>
        <v>34.351485148514854</v>
      </c>
      <c r="AL89">
        <f t="shared" si="27"/>
        <v>0.39035778577857788</v>
      </c>
      <c r="AM89">
        <v>88</v>
      </c>
    </row>
    <row r="90" spans="25:39" x14ac:dyDescent="0.25">
      <c r="Y90">
        <v>60</v>
      </c>
      <c r="Z90">
        <f t="shared" si="20"/>
        <v>0.10810810810810811</v>
      </c>
      <c r="AA90">
        <f t="shared" si="21"/>
        <v>1.7781512503836436</v>
      </c>
      <c r="AB90">
        <f t="shared" si="24"/>
        <v>0.9661417327390327</v>
      </c>
      <c r="AC90">
        <f>SUM($AB$2:AB90)</f>
        <v>35.69787114329452</v>
      </c>
      <c r="AD90">
        <f t="shared" si="25"/>
        <v>0.40109967576735417</v>
      </c>
      <c r="AE90">
        <v>89</v>
      </c>
      <c r="AG90">
        <v>77</v>
      </c>
      <c r="AH90">
        <f t="shared" si="22"/>
        <v>0.38118811881188119</v>
      </c>
      <c r="AI90">
        <f t="shared" si="23"/>
        <v>1.8864907251724818</v>
      </c>
      <c r="AJ90">
        <f t="shared" si="26"/>
        <v>0.61881188118811881</v>
      </c>
      <c r="AK90">
        <f>SUM($AJ$2:AJ90)</f>
        <v>34.970297029702969</v>
      </c>
      <c r="AL90">
        <f t="shared" si="27"/>
        <v>0.39292468572699968</v>
      </c>
      <c r="AM90">
        <v>89</v>
      </c>
    </row>
    <row r="91" spans="25:39" x14ac:dyDescent="0.25">
      <c r="Y91">
        <v>56</v>
      </c>
      <c r="Z91">
        <f t="shared" si="20"/>
        <v>0.1009009009009009</v>
      </c>
      <c r="AA91">
        <f t="shared" si="21"/>
        <v>1.7481880270062005</v>
      </c>
      <c r="AB91">
        <f t="shared" si="24"/>
        <v>0.99610495611647587</v>
      </c>
      <c r="AC91">
        <f>SUM($AB$2:AB91)</f>
        <v>36.693976099410996</v>
      </c>
      <c r="AD91">
        <f t="shared" si="25"/>
        <v>0.40771084554901105</v>
      </c>
      <c r="AE91">
        <v>90</v>
      </c>
      <c r="AG91">
        <v>76</v>
      </c>
      <c r="AH91">
        <f t="shared" si="22"/>
        <v>0.37623762376237624</v>
      </c>
      <c r="AI91">
        <f t="shared" si="23"/>
        <v>1.8808135922807914</v>
      </c>
      <c r="AJ91">
        <f t="shared" si="26"/>
        <v>0.62376237623762376</v>
      </c>
      <c r="AK91">
        <f>SUM($AJ$2:AJ91)</f>
        <v>35.594059405940591</v>
      </c>
      <c r="AL91">
        <f t="shared" si="27"/>
        <v>0.39548954895489546</v>
      </c>
      <c r="AM91">
        <v>90</v>
      </c>
    </row>
    <row r="92" spans="25:39" x14ac:dyDescent="0.25">
      <c r="Y92">
        <v>48</v>
      </c>
      <c r="Z92">
        <f t="shared" si="20"/>
        <v>8.6486486486486491E-2</v>
      </c>
      <c r="AA92">
        <f t="shared" si="21"/>
        <v>1.6812412373755872</v>
      </c>
      <c r="AB92">
        <f t="shared" si="24"/>
        <v>1.0630517457470892</v>
      </c>
      <c r="AC92">
        <f>SUM($AB$2:AB92)</f>
        <v>37.757027845158085</v>
      </c>
      <c r="AD92">
        <f t="shared" si="25"/>
        <v>0.41491239390283607</v>
      </c>
      <c r="AE92">
        <v>91</v>
      </c>
      <c r="AG92">
        <v>75</v>
      </c>
      <c r="AH92">
        <f t="shared" si="22"/>
        <v>0.37128712871287128</v>
      </c>
      <c r="AI92">
        <f t="shared" si="23"/>
        <v>1.8750612633917001</v>
      </c>
      <c r="AJ92">
        <f t="shared" si="26"/>
        <v>0.62871287128712872</v>
      </c>
      <c r="AK92">
        <f>SUM($AJ$2:AJ92)</f>
        <v>36.222772277227719</v>
      </c>
      <c r="AL92">
        <f t="shared" si="27"/>
        <v>0.39805244260689804</v>
      </c>
      <c r="AM92">
        <v>91</v>
      </c>
    </row>
    <row r="93" spans="25:39" x14ac:dyDescent="0.25">
      <c r="Y93">
        <v>44</v>
      </c>
      <c r="Z93">
        <f t="shared" si="20"/>
        <v>7.9279279279279274E-2</v>
      </c>
      <c r="AA93">
        <f t="shared" si="21"/>
        <v>1.6434526764861874</v>
      </c>
      <c r="AB93">
        <f t="shared" si="24"/>
        <v>1.1008403066364889</v>
      </c>
      <c r="AC93">
        <f>SUM($AB$2:AB93)</f>
        <v>38.857868151794577</v>
      </c>
      <c r="AD93">
        <f t="shared" si="25"/>
        <v>0.42236813208472368</v>
      </c>
      <c r="AE93">
        <v>92</v>
      </c>
      <c r="AG93">
        <v>74</v>
      </c>
      <c r="AH93">
        <f t="shared" si="22"/>
        <v>0.36633663366336633</v>
      </c>
      <c r="AI93">
        <f t="shared" si="23"/>
        <v>1.8692317197309762</v>
      </c>
      <c r="AJ93">
        <f t="shared" si="26"/>
        <v>0.63366336633663367</v>
      </c>
      <c r="AK93">
        <f>SUM($AJ$2:AJ93)</f>
        <v>36.856435643564353</v>
      </c>
      <c r="AL93">
        <f t="shared" si="27"/>
        <v>0.4006134309083082</v>
      </c>
      <c r="AM93">
        <v>92</v>
      </c>
    </row>
    <row r="94" spans="25:39" x14ac:dyDescent="0.25">
      <c r="Y94">
        <v>43</v>
      </c>
      <c r="Z94">
        <f t="shared" si="20"/>
        <v>7.7477477477477477E-2</v>
      </c>
      <c r="AA94">
        <f t="shared" si="21"/>
        <v>1.6334684555795864</v>
      </c>
      <c r="AB94">
        <f t="shared" si="24"/>
        <v>1.1108245275430899</v>
      </c>
      <c r="AC94">
        <f>SUM($AB$2:AB94)</f>
        <v>39.968692679337664</v>
      </c>
      <c r="AD94">
        <f t="shared" si="25"/>
        <v>0.42977088902513616</v>
      </c>
      <c r="AE94">
        <v>93</v>
      </c>
      <c r="AG94">
        <v>73</v>
      </c>
      <c r="AH94">
        <f t="shared" si="22"/>
        <v>0.36138613861386137</v>
      </c>
      <c r="AI94">
        <f t="shared" si="23"/>
        <v>1.8633228601204559</v>
      </c>
      <c r="AJ94">
        <f t="shared" si="26"/>
        <v>0.63861386138613863</v>
      </c>
      <c r="AK94">
        <f>SUM($AJ$2:AJ94)</f>
        <v>37.495049504950494</v>
      </c>
      <c r="AL94">
        <f t="shared" si="27"/>
        <v>0.40317257532204831</v>
      </c>
      <c r="AM94">
        <v>93</v>
      </c>
    </row>
    <row r="95" spans="25:39" x14ac:dyDescent="0.25">
      <c r="Y95">
        <v>43</v>
      </c>
      <c r="Z95">
        <f t="shared" si="20"/>
        <v>7.7477477477477477E-2</v>
      </c>
      <c r="AA95">
        <f t="shared" si="21"/>
        <v>1.6334684555795864</v>
      </c>
      <c r="AB95">
        <f t="shared" si="24"/>
        <v>1.1108245275430899</v>
      </c>
      <c r="AC95">
        <f>SUM($AB$2:AB95)</f>
        <v>41.079517206880752</v>
      </c>
      <c r="AD95">
        <f t="shared" si="25"/>
        <v>0.43701614049873139</v>
      </c>
      <c r="AE95">
        <v>94</v>
      </c>
      <c r="AG95">
        <v>72</v>
      </c>
      <c r="AH95">
        <f t="shared" si="22"/>
        <v>0.35643564356435642</v>
      </c>
      <c r="AI95">
        <f t="shared" si="23"/>
        <v>1.8573324964312685</v>
      </c>
      <c r="AJ95">
        <f t="shared" si="26"/>
        <v>0.64356435643564358</v>
      </c>
      <c r="AK95">
        <f>SUM($AJ$2:AJ95)</f>
        <v>38.138613861386141</v>
      </c>
      <c r="AL95">
        <f t="shared" si="27"/>
        <v>0.40572993469559726</v>
      </c>
      <c r="AM95">
        <v>94</v>
      </c>
    </row>
    <row r="96" spans="25:39" x14ac:dyDescent="0.25">
      <c r="Y96">
        <v>41</v>
      </c>
      <c r="Z96">
        <f t="shared" si="20"/>
        <v>7.3873873873873869E-2</v>
      </c>
      <c r="AA96">
        <f t="shared" si="21"/>
        <v>1.6127838567197355</v>
      </c>
      <c r="AB96">
        <f t="shared" si="24"/>
        <v>1.1315091264029409</v>
      </c>
      <c r="AC96">
        <f>SUM($AB$2:AB96)</f>
        <v>42.211026333283691</v>
      </c>
      <c r="AD96">
        <f t="shared" si="25"/>
        <v>0.44432659298193361</v>
      </c>
      <c r="AE96">
        <v>95</v>
      </c>
      <c r="AG96">
        <v>71</v>
      </c>
      <c r="AH96">
        <f t="shared" si="22"/>
        <v>0.35148514851485146</v>
      </c>
      <c r="AI96">
        <f t="shared" si="23"/>
        <v>1.8512583487190752</v>
      </c>
      <c r="AJ96">
        <f t="shared" si="26"/>
        <v>0.64851485148514854</v>
      </c>
      <c r="AK96">
        <f>SUM($AJ$2:AJ96)</f>
        <v>38.787128712871286</v>
      </c>
      <c r="AL96">
        <f t="shared" si="27"/>
        <v>0.40828556539864513</v>
      </c>
      <c r="AM96">
        <v>95</v>
      </c>
    </row>
    <row r="97" spans="25:39" x14ac:dyDescent="0.25">
      <c r="Y97">
        <v>40</v>
      </c>
      <c r="Z97">
        <f t="shared" si="20"/>
        <v>7.2072072072072071E-2</v>
      </c>
      <c r="AA97">
        <f t="shared" si="21"/>
        <v>1.6020599913279623</v>
      </c>
      <c r="AB97">
        <f t="shared" si="24"/>
        <v>1.142232991794714</v>
      </c>
      <c r="AC97">
        <f>SUM($AB$2:AB97)</f>
        <v>43.353259325078405</v>
      </c>
      <c r="AD97">
        <f t="shared" si="25"/>
        <v>0.45159645130290005</v>
      </c>
      <c r="AE97">
        <v>96</v>
      </c>
      <c r="AG97">
        <v>70</v>
      </c>
      <c r="AH97">
        <f t="shared" si="22"/>
        <v>0.34653465346534651</v>
      </c>
      <c r="AI97">
        <f t="shared" si="23"/>
        <v>1.8450980400142569</v>
      </c>
      <c r="AJ97">
        <f t="shared" si="26"/>
        <v>0.65346534653465349</v>
      </c>
      <c r="AK97">
        <f>SUM($AJ$2:AJ97)</f>
        <v>39.440594059405939</v>
      </c>
      <c r="AL97">
        <f t="shared" si="27"/>
        <v>0.4108395214521452</v>
      </c>
      <c r="AM97">
        <v>96</v>
      </c>
    </row>
    <row r="98" spans="25:39" x14ac:dyDescent="0.25">
      <c r="Y98">
        <v>40</v>
      </c>
      <c r="Z98">
        <f t="shared" si="20"/>
        <v>7.2072072072072071E-2</v>
      </c>
      <c r="AA98">
        <f t="shared" si="21"/>
        <v>1.6020599913279623</v>
      </c>
      <c r="AB98">
        <f t="shared" si="24"/>
        <v>1.142232991794714</v>
      </c>
      <c r="AC98">
        <f>SUM($AB$2:AB98)</f>
        <v>44.495492316873118</v>
      </c>
      <c r="AD98">
        <f t="shared" si="25"/>
        <v>0.45871641563786719</v>
      </c>
      <c r="AE98">
        <v>97</v>
      </c>
      <c r="AG98">
        <v>69</v>
      </c>
      <c r="AH98">
        <f t="shared" si="22"/>
        <v>0.34158415841584161</v>
      </c>
      <c r="AI98">
        <f t="shared" si="23"/>
        <v>1.8388490907372552</v>
      </c>
      <c r="AJ98">
        <f t="shared" si="26"/>
        <v>0.65841584158415833</v>
      </c>
      <c r="AK98">
        <f>SUM($AJ$2:AJ98)</f>
        <v>40.099009900990097</v>
      </c>
      <c r="AL98">
        <f t="shared" si="27"/>
        <v>0.41339185464938244</v>
      </c>
      <c r="AM98">
        <v>97</v>
      </c>
    </row>
    <row r="99" spans="25:39" x14ac:dyDescent="0.25">
      <c r="Y99">
        <v>39</v>
      </c>
      <c r="Z99">
        <f t="shared" si="20"/>
        <v>7.0270270270270274E-2</v>
      </c>
      <c r="AA99">
        <f t="shared" si="21"/>
        <v>1.5910646070264991</v>
      </c>
      <c r="AB99">
        <f t="shared" si="24"/>
        <v>1.1532283760961772</v>
      </c>
      <c r="AC99">
        <f>SUM($AB$2:AB99)</f>
        <v>45.648720692969299</v>
      </c>
      <c r="AD99">
        <f t="shared" si="25"/>
        <v>0.46580327237723773</v>
      </c>
      <c r="AE99">
        <v>98</v>
      </c>
      <c r="AG99">
        <v>68</v>
      </c>
      <c r="AH99">
        <f t="shared" si="22"/>
        <v>0.33663366336633666</v>
      </c>
      <c r="AI99">
        <f t="shared" si="23"/>
        <v>1.8325089127062364</v>
      </c>
      <c r="AJ99">
        <f t="shared" si="26"/>
        <v>0.66336633663366329</v>
      </c>
      <c r="AK99">
        <f>SUM($AJ$2:AJ99)</f>
        <v>40.762376237623762</v>
      </c>
      <c r="AL99">
        <f t="shared" si="27"/>
        <v>0.41594261466963023</v>
      </c>
      <c r="AM99">
        <v>98</v>
      </c>
    </row>
    <row r="100" spans="25:39" x14ac:dyDescent="0.25">
      <c r="Y100">
        <v>37</v>
      </c>
      <c r="Z100">
        <f t="shared" si="20"/>
        <v>6.6666666666666666E-2</v>
      </c>
      <c r="AA100">
        <f t="shared" si="21"/>
        <v>1.568201724066995</v>
      </c>
      <c r="AB100">
        <f t="shared" si="24"/>
        <v>1.1760912590556813</v>
      </c>
      <c r="AC100">
        <f>SUM($AB$2:AB100)</f>
        <v>46.82481195202498</v>
      </c>
      <c r="AD100">
        <f t="shared" si="25"/>
        <v>0.47297789850530281</v>
      </c>
      <c r="AE100">
        <v>99</v>
      </c>
      <c r="AG100">
        <v>67</v>
      </c>
      <c r="AH100">
        <f t="shared" si="22"/>
        <v>0.3316831683168317</v>
      </c>
      <c r="AI100">
        <f t="shared" si="23"/>
        <v>1.8260748027008264</v>
      </c>
      <c r="AJ100">
        <f t="shared" si="26"/>
        <v>0.66831683168316824</v>
      </c>
      <c r="AK100">
        <f>SUM($AJ$2:AJ100)</f>
        <v>41.430693069306933</v>
      </c>
      <c r="AL100">
        <f t="shared" si="27"/>
        <v>0.4184918491849185</v>
      </c>
      <c r="AM100">
        <v>99</v>
      </c>
    </row>
    <row r="101" spans="25:39" x14ac:dyDescent="0.25">
      <c r="Y101">
        <v>31</v>
      </c>
      <c r="Z101">
        <f t="shared" si="20"/>
        <v>5.5855855855855854E-2</v>
      </c>
      <c r="AA101">
        <f t="shared" si="21"/>
        <v>1.4913616938342726</v>
      </c>
      <c r="AB101">
        <f t="shared" si="24"/>
        <v>1.2529312892884037</v>
      </c>
      <c r="AC101">
        <f>SUM($AB$2:AB101)</f>
        <v>48.077743241313385</v>
      </c>
      <c r="AD101">
        <f t="shared" si="25"/>
        <v>0.48077743241313387</v>
      </c>
      <c r="AE101">
        <v>100</v>
      </c>
      <c r="AG101">
        <v>66</v>
      </c>
      <c r="AH101">
        <f t="shared" si="22"/>
        <v>0.32673267326732675</v>
      </c>
      <c r="AI101">
        <f t="shared" si="23"/>
        <v>1.8195439355418688</v>
      </c>
      <c r="AJ101">
        <f t="shared" si="26"/>
        <v>0.6732673267326732</v>
      </c>
      <c r="AK101">
        <f>SUM($AJ$2:AJ101)</f>
        <v>42.103960396039604</v>
      </c>
      <c r="AL101">
        <f t="shared" si="27"/>
        <v>0.42103960396039602</v>
      </c>
      <c r="AM101">
        <v>100</v>
      </c>
    </row>
    <row r="102" spans="25:39" x14ac:dyDescent="0.25">
      <c r="Y102">
        <v>30</v>
      </c>
      <c r="Z102">
        <f t="shared" si="20"/>
        <v>5.4054054054054057E-2</v>
      </c>
      <c r="AA102">
        <f t="shared" si="21"/>
        <v>1.4771212547196624</v>
      </c>
      <c r="AB102">
        <f t="shared" si="24"/>
        <v>1.267171728403014</v>
      </c>
      <c r="AC102">
        <f>SUM($AB$2:AB102)</f>
        <v>49.344914969716399</v>
      </c>
      <c r="AD102">
        <f t="shared" si="25"/>
        <v>0.48856351455164754</v>
      </c>
      <c r="AE102">
        <v>101</v>
      </c>
      <c r="AG102">
        <v>65</v>
      </c>
      <c r="AH102">
        <f t="shared" si="22"/>
        <v>0.32178217821782179</v>
      </c>
      <c r="AI102">
        <f t="shared" si="23"/>
        <v>1.8129133566428555</v>
      </c>
      <c r="AJ102">
        <f t="shared" si="26"/>
        <v>0.67821782178217815</v>
      </c>
      <c r="AK102">
        <f>SUM($AJ$2:AJ102)</f>
        <v>42.78217821782178</v>
      </c>
      <c r="AL102">
        <f t="shared" si="27"/>
        <v>0.42358592294873049</v>
      </c>
      <c r="AM102">
        <v>101</v>
      </c>
    </row>
    <row r="103" spans="25:39" x14ac:dyDescent="0.25">
      <c r="Y103">
        <v>29</v>
      </c>
      <c r="Z103">
        <f t="shared" si="20"/>
        <v>5.2252252252252253E-2</v>
      </c>
      <c r="AA103">
        <f t="shared" si="21"/>
        <v>1.4623979978989561</v>
      </c>
      <c r="AB103">
        <f t="shared" si="24"/>
        <v>1.2818949852237203</v>
      </c>
      <c r="AC103">
        <f>SUM($AB$2:AB103)</f>
        <v>50.626809954940121</v>
      </c>
      <c r="AD103">
        <f t="shared" si="25"/>
        <v>0.49634127406804041</v>
      </c>
      <c r="AE103">
        <v>102</v>
      </c>
      <c r="AG103">
        <v>64</v>
      </c>
      <c r="AH103">
        <f t="shared" si="22"/>
        <v>0.31683168316831684</v>
      </c>
      <c r="AI103">
        <f t="shared" si="23"/>
        <v>1.8061799739838871</v>
      </c>
      <c r="AJ103">
        <f t="shared" si="26"/>
        <v>0.68316831683168311</v>
      </c>
      <c r="AK103">
        <f>SUM($AJ$2:AJ103)</f>
        <v>43.465346534653463</v>
      </c>
      <c r="AL103">
        <f t="shared" si="27"/>
        <v>0.42613084837895554</v>
      </c>
      <c r="AM103">
        <v>102</v>
      </c>
    </row>
    <row r="104" spans="25:39" x14ac:dyDescent="0.25">
      <c r="Y104">
        <v>28</v>
      </c>
      <c r="Z104">
        <f t="shared" si="20"/>
        <v>5.0450450450450449E-2</v>
      </c>
      <c r="AA104">
        <f t="shared" si="21"/>
        <v>1.4471580313422192</v>
      </c>
      <c r="AB104">
        <f t="shared" si="24"/>
        <v>1.2971349517804571</v>
      </c>
      <c r="AC104">
        <f>SUM($AB$2:AB104)</f>
        <v>51.923944906720578</v>
      </c>
      <c r="AD104">
        <f t="shared" si="25"/>
        <v>0.50411596996816099</v>
      </c>
      <c r="AE104">
        <v>103</v>
      </c>
      <c r="AG104">
        <v>63</v>
      </c>
      <c r="AH104">
        <f t="shared" si="22"/>
        <v>0.31188118811881188</v>
      </c>
      <c r="AI104">
        <f t="shared" si="23"/>
        <v>1.7993405494535817</v>
      </c>
      <c r="AJ104">
        <f t="shared" si="26"/>
        <v>0.68811881188118806</v>
      </c>
      <c r="AK104">
        <f>SUM($AJ$2:AJ104)</f>
        <v>44.153465346534652</v>
      </c>
      <c r="AL104">
        <f t="shared" si="27"/>
        <v>0.42867442084014223</v>
      </c>
      <c r="AM104">
        <v>103</v>
      </c>
    </row>
    <row r="105" spans="25:39" x14ac:dyDescent="0.25">
      <c r="Y105">
        <v>28</v>
      </c>
      <c r="Z105">
        <f t="shared" si="20"/>
        <v>5.0450450450450449E-2</v>
      </c>
      <c r="AA105">
        <f t="shared" si="21"/>
        <v>1.4471580313422192</v>
      </c>
      <c r="AB105">
        <f t="shared" si="24"/>
        <v>1.2971349517804571</v>
      </c>
      <c r="AC105">
        <f>SUM($AB$2:AB105)</f>
        <v>53.221079858501035</v>
      </c>
      <c r="AD105">
        <f t="shared" si="25"/>
        <v>0.51174115248558683</v>
      </c>
      <c r="AE105">
        <v>104</v>
      </c>
      <c r="AG105">
        <v>62</v>
      </c>
      <c r="AH105">
        <f t="shared" si="22"/>
        <v>0.30693069306930693</v>
      </c>
      <c r="AI105">
        <f t="shared" si="23"/>
        <v>1.7923916894982539</v>
      </c>
      <c r="AJ105">
        <f t="shared" si="26"/>
        <v>0.69306930693069302</v>
      </c>
      <c r="AK105">
        <f>SUM($AJ$2:AJ105)</f>
        <v>44.846534653465348</v>
      </c>
      <c r="AL105">
        <f t="shared" si="27"/>
        <v>0.43121667936024372</v>
      </c>
      <c r="AM105">
        <v>104</v>
      </c>
    </row>
    <row r="106" spans="25:39" x14ac:dyDescent="0.25">
      <c r="Y106">
        <v>28</v>
      </c>
      <c r="Z106">
        <f t="shared" si="20"/>
        <v>5.0450450450450449E-2</v>
      </c>
      <c r="AA106">
        <f t="shared" si="21"/>
        <v>1.4471580313422192</v>
      </c>
      <c r="AB106">
        <f t="shared" si="24"/>
        <v>1.2971349517804571</v>
      </c>
      <c r="AC106">
        <f>SUM($AB$2:AB106)</f>
        <v>54.518214810281492</v>
      </c>
      <c r="AD106">
        <f t="shared" si="25"/>
        <v>0.51922109343125233</v>
      </c>
      <c r="AE106">
        <v>105</v>
      </c>
      <c r="AG106">
        <v>61</v>
      </c>
      <c r="AH106">
        <f t="shared" si="22"/>
        <v>0.30198019801980197</v>
      </c>
      <c r="AI106">
        <f t="shared" si="23"/>
        <v>1.7853298350107671</v>
      </c>
      <c r="AJ106">
        <f t="shared" si="26"/>
        <v>0.69801980198019797</v>
      </c>
      <c r="AK106">
        <f>SUM($AJ$2:AJ106)</f>
        <v>45.544554455445542</v>
      </c>
      <c r="AL106">
        <f t="shared" si="27"/>
        <v>0.43375766148043371</v>
      </c>
      <c r="AM106">
        <v>105</v>
      </c>
    </row>
    <row r="107" spans="25:39" x14ac:dyDescent="0.25">
      <c r="Y107">
        <v>27</v>
      </c>
      <c r="Z107">
        <f t="shared" si="20"/>
        <v>4.8648648648648651E-2</v>
      </c>
      <c r="AA107">
        <f t="shared" si="21"/>
        <v>1.4313637641589874</v>
      </c>
      <c r="AB107">
        <f t="shared" si="24"/>
        <v>1.312929218963689</v>
      </c>
      <c r="AC107">
        <f>SUM($AB$2:AB107)</f>
        <v>55.831144029245181</v>
      </c>
      <c r="AD107">
        <f t="shared" si="25"/>
        <v>0.52670890593627528</v>
      </c>
      <c r="AE107">
        <v>106</v>
      </c>
      <c r="AG107">
        <v>60</v>
      </c>
      <c r="AH107">
        <f t="shared" si="22"/>
        <v>0.29702970297029702</v>
      </c>
      <c r="AI107">
        <f t="shared" si="23"/>
        <v>1.7781512503836436</v>
      </c>
      <c r="AJ107">
        <f t="shared" si="26"/>
        <v>0.70297029702970293</v>
      </c>
      <c r="AK107">
        <f>SUM($AJ$2:AJ107)</f>
        <v>46.247524752475243</v>
      </c>
      <c r="AL107">
        <f t="shared" si="27"/>
        <v>0.43629740332523814</v>
      </c>
      <c r="AM107">
        <v>106</v>
      </c>
    </row>
    <row r="108" spans="25:39" x14ac:dyDescent="0.25">
      <c r="Y108">
        <v>26</v>
      </c>
      <c r="Z108">
        <f t="shared" si="20"/>
        <v>4.6846846846846847E-2</v>
      </c>
      <c r="AA108">
        <f t="shared" si="21"/>
        <v>1.414973347970818</v>
      </c>
      <c r="AB108">
        <f t="shared" si="24"/>
        <v>1.3293196351518584</v>
      </c>
      <c r="AC108">
        <f>SUM($AB$2:AB108)</f>
        <v>57.160463664397042</v>
      </c>
      <c r="AD108">
        <f t="shared" si="25"/>
        <v>0.53420994078875739</v>
      </c>
      <c r="AE108">
        <v>107</v>
      </c>
      <c r="AG108">
        <v>59</v>
      </c>
      <c r="AH108">
        <f t="shared" si="22"/>
        <v>0.29207920792079206</v>
      </c>
      <c r="AI108">
        <f t="shared" si="23"/>
        <v>1.7708520116421442</v>
      </c>
      <c r="AJ108">
        <f t="shared" si="26"/>
        <v>0.70792079207920788</v>
      </c>
      <c r="AK108">
        <f>SUM($AJ$2:AJ108)</f>
        <v>46.955445544554451</v>
      </c>
      <c r="AL108">
        <f t="shared" si="27"/>
        <v>0.43883593966873319</v>
      </c>
      <c r="AM108">
        <v>107</v>
      </c>
    </row>
    <row r="109" spans="25:39" x14ac:dyDescent="0.25">
      <c r="Y109">
        <v>25</v>
      </c>
      <c r="Z109">
        <f t="shared" si="20"/>
        <v>4.5045045045045043E-2</v>
      </c>
      <c r="AA109">
        <f t="shared" si="21"/>
        <v>1.3979400086720377</v>
      </c>
      <c r="AB109">
        <f t="shared" si="24"/>
        <v>1.3463529744506386</v>
      </c>
      <c r="AC109">
        <f>SUM($AB$2:AB109)</f>
        <v>58.506816638847681</v>
      </c>
      <c r="AD109">
        <f t="shared" si="25"/>
        <v>0.54172978369303404</v>
      </c>
      <c r="AE109">
        <v>108</v>
      </c>
      <c r="AG109">
        <v>58</v>
      </c>
      <c r="AH109">
        <f t="shared" si="22"/>
        <v>0.28712871287128711</v>
      </c>
      <c r="AI109">
        <f t="shared" si="23"/>
        <v>1.7634279935629373</v>
      </c>
      <c r="AJ109">
        <f t="shared" si="26"/>
        <v>0.71287128712871284</v>
      </c>
      <c r="AK109">
        <f>SUM($AJ$2:AJ109)</f>
        <v>47.668316831683164</v>
      </c>
      <c r="AL109">
        <f t="shared" si="27"/>
        <v>0.44137330399706631</v>
      </c>
      <c r="AM109">
        <v>108</v>
      </c>
    </row>
    <row r="110" spans="25:39" x14ac:dyDescent="0.25">
      <c r="Y110">
        <v>25</v>
      </c>
      <c r="Z110">
        <f t="shared" si="20"/>
        <v>4.5045045045045043E-2</v>
      </c>
      <c r="AA110">
        <f t="shared" si="21"/>
        <v>1.3979400086720377</v>
      </c>
      <c r="AB110">
        <f t="shared" si="24"/>
        <v>1.3463529744506386</v>
      </c>
      <c r="AC110">
        <f>SUM($AB$2:AB110)</f>
        <v>59.85316961329832</v>
      </c>
      <c r="AD110">
        <f t="shared" si="25"/>
        <v>0.54911164782842492</v>
      </c>
      <c r="AE110">
        <v>109</v>
      </c>
      <c r="AG110">
        <v>57</v>
      </c>
      <c r="AH110">
        <f t="shared" si="22"/>
        <v>0.28217821782178215</v>
      </c>
      <c r="AI110">
        <f t="shared" si="23"/>
        <v>1.7558748556724915</v>
      </c>
      <c r="AJ110">
        <f t="shared" si="26"/>
        <v>0.71782178217821779</v>
      </c>
      <c r="AK110">
        <f>SUM($AJ$2:AJ110)</f>
        <v>48.386138613861384</v>
      </c>
      <c r="AL110">
        <f t="shared" si="27"/>
        <v>0.44390952856753563</v>
      </c>
      <c r="AM110">
        <v>109</v>
      </c>
    </row>
    <row r="111" spans="25:39" x14ac:dyDescent="0.25">
      <c r="Y111">
        <v>24</v>
      </c>
      <c r="Z111">
        <f t="shared" si="20"/>
        <v>4.3243243243243246E-2</v>
      </c>
      <c r="AA111">
        <f t="shared" si="21"/>
        <v>1.3802112417116059</v>
      </c>
      <c r="AB111">
        <f t="shared" si="24"/>
        <v>1.3640817414110704</v>
      </c>
      <c r="AC111">
        <f>SUM($AB$2:AB111)</f>
        <v>61.21725135470939</v>
      </c>
      <c r="AD111">
        <f t="shared" si="25"/>
        <v>0.55652046686099443</v>
      </c>
      <c r="AE111">
        <v>110</v>
      </c>
      <c r="AG111">
        <v>56</v>
      </c>
      <c r="AH111">
        <f t="shared" si="22"/>
        <v>0.27722772277227725</v>
      </c>
      <c r="AI111">
        <f t="shared" si="23"/>
        <v>1.7481880270062005</v>
      </c>
      <c r="AJ111">
        <f t="shared" si="26"/>
        <v>0.72277227722772275</v>
      </c>
      <c r="AK111">
        <f>SUM($AJ$2:AJ111)</f>
        <v>49.10891089108911</v>
      </c>
      <c r="AL111">
        <f t="shared" si="27"/>
        <v>0.44644464446444643</v>
      </c>
      <c r="AM111">
        <v>110</v>
      </c>
    </row>
    <row r="112" spans="25:39" x14ac:dyDescent="0.25">
      <c r="Y112">
        <v>21</v>
      </c>
      <c r="Z112">
        <f t="shared" si="20"/>
        <v>3.783783783783784E-2</v>
      </c>
      <c r="AA112">
        <f t="shared" si="21"/>
        <v>1.3222192947339193</v>
      </c>
      <c r="AB112">
        <f t="shared" si="24"/>
        <v>1.422073688388757</v>
      </c>
      <c r="AC112">
        <f>SUM($AB$2:AB112)</f>
        <v>62.639325043098147</v>
      </c>
      <c r="AD112">
        <f t="shared" si="25"/>
        <v>0.56431824363151484</v>
      </c>
      <c r="AE112">
        <v>111</v>
      </c>
      <c r="AG112">
        <v>55</v>
      </c>
      <c r="AH112">
        <f t="shared" si="22"/>
        <v>0.2722772277227723</v>
      </c>
      <c r="AI112">
        <f t="shared" si="23"/>
        <v>1.7403626894942439</v>
      </c>
      <c r="AJ112">
        <f t="shared" si="26"/>
        <v>0.7277227722772277</v>
      </c>
      <c r="AK112">
        <f>SUM($AJ$2:AJ112)</f>
        <v>49.836633663366335</v>
      </c>
      <c r="AL112">
        <f t="shared" si="27"/>
        <v>0.44897868165194899</v>
      </c>
      <c r="AM112">
        <v>111</v>
      </c>
    </row>
    <row r="113" spans="25:39" x14ac:dyDescent="0.25">
      <c r="Y113">
        <v>20</v>
      </c>
      <c r="Z113">
        <f t="shared" si="20"/>
        <v>3.6036036036036036E-2</v>
      </c>
      <c r="AA113">
        <f t="shared" si="21"/>
        <v>1.3010299956639813</v>
      </c>
      <c r="AB113">
        <f t="shared" si="24"/>
        <v>1.4432629874586951</v>
      </c>
      <c r="AC113">
        <f>SUM($AB$2:AB113)</f>
        <v>64.082588030556849</v>
      </c>
      <c r="AD113">
        <f t="shared" si="25"/>
        <v>0.57216596455854329</v>
      </c>
      <c r="AE113">
        <v>112</v>
      </c>
      <c r="AG113">
        <v>54</v>
      </c>
      <c r="AH113">
        <f t="shared" si="22"/>
        <v>0.26732673267326734</v>
      </c>
      <c r="AI113">
        <f t="shared" si="23"/>
        <v>1.7323937598229686</v>
      </c>
      <c r="AJ113">
        <f t="shared" si="26"/>
        <v>0.73267326732673266</v>
      </c>
      <c r="AK113">
        <f>SUM($AJ$2:AJ113)</f>
        <v>50.569306930693067</v>
      </c>
      <c r="AL113">
        <f t="shared" si="27"/>
        <v>0.45151166902404521</v>
      </c>
      <c r="AM113">
        <v>112</v>
      </c>
    </row>
    <row r="114" spans="25:39" x14ac:dyDescent="0.25">
      <c r="Y114">
        <v>19</v>
      </c>
      <c r="Z114">
        <f t="shared" si="20"/>
        <v>3.4234234234234232E-2</v>
      </c>
      <c r="AA114">
        <f t="shared" si="21"/>
        <v>1.2787536009528289</v>
      </c>
      <c r="AB114">
        <f t="shared" si="24"/>
        <v>1.4655393821698475</v>
      </c>
      <c r="AC114">
        <f>SUM($AB$2:AB114)</f>
        <v>65.5481274127267</v>
      </c>
      <c r="AD114">
        <f t="shared" si="25"/>
        <v>0.58007192400643093</v>
      </c>
      <c r="AE114">
        <v>113</v>
      </c>
      <c r="AG114">
        <v>53</v>
      </c>
      <c r="AH114">
        <f t="shared" si="22"/>
        <v>0.26237623762376239</v>
      </c>
      <c r="AI114">
        <f t="shared" si="23"/>
        <v>1.7242758696007889</v>
      </c>
      <c r="AJ114">
        <f t="shared" si="26"/>
        <v>0.73762376237623761</v>
      </c>
      <c r="AK114">
        <f>SUM($AJ$2:AJ114)</f>
        <v>51.306930693069305</v>
      </c>
      <c r="AL114">
        <f t="shared" si="27"/>
        <v>0.45404363445194074</v>
      </c>
      <c r="AM114">
        <v>113</v>
      </c>
    </row>
    <row r="115" spans="25:39" x14ac:dyDescent="0.25">
      <c r="Y115">
        <v>19</v>
      </c>
      <c r="Z115">
        <f t="shared" si="20"/>
        <v>3.4234234234234232E-2</v>
      </c>
      <c r="AA115">
        <f t="shared" si="21"/>
        <v>1.2787536009528289</v>
      </c>
      <c r="AB115">
        <f t="shared" si="24"/>
        <v>1.4655393821698475</v>
      </c>
      <c r="AC115">
        <f>SUM($AB$2:AB115)</f>
        <v>67.013666794896551</v>
      </c>
      <c r="AD115">
        <f t="shared" si="25"/>
        <v>0.58783918241137323</v>
      </c>
      <c r="AE115">
        <v>114</v>
      </c>
      <c r="AG115">
        <v>52</v>
      </c>
      <c r="AH115">
        <f t="shared" si="22"/>
        <v>0.25742574257425743</v>
      </c>
      <c r="AI115">
        <f t="shared" si="23"/>
        <v>1.7160033436347992</v>
      </c>
      <c r="AJ115">
        <f t="shared" si="26"/>
        <v>0.74257425742574257</v>
      </c>
      <c r="AK115">
        <f>SUM($AJ$2:AJ115)</f>
        <v>52.049504950495049</v>
      </c>
      <c r="AL115">
        <f t="shared" si="27"/>
        <v>0.45657460482890394</v>
      </c>
      <c r="AM115">
        <v>114</v>
      </c>
    </row>
    <row r="116" spans="25:39" x14ac:dyDescent="0.25">
      <c r="Y116">
        <v>17</v>
      </c>
      <c r="Z116">
        <f t="shared" si="20"/>
        <v>3.063063063063063E-2</v>
      </c>
      <c r="AA116">
        <f t="shared" si="21"/>
        <v>1.2304489213782739</v>
      </c>
      <c r="AB116">
        <f t="shared" si="24"/>
        <v>1.5138440617444024</v>
      </c>
      <c r="AC116">
        <f>SUM($AB$2:AB116)</f>
        <v>68.527510856640959</v>
      </c>
      <c r="AD116">
        <f t="shared" si="25"/>
        <v>0.59589139875339969</v>
      </c>
      <c r="AE116">
        <v>115</v>
      </c>
      <c r="AG116">
        <v>51</v>
      </c>
      <c r="AH116">
        <f t="shared" si="22"/>
        <v>0.25247524752475248</v>
      </c>
      <c r="AI116">
        <f t="shared" si="23"/>
        <v>1.7075701760979363</v>
      </c>
      <c r="AJ116">
        <f t="shared" si="26"/>
        <v>0.74752475247524752</v>
      </c>
      <c r="AK116">
        <f>SUM($AJ$2:AJ116)</f>
        <v>52.797029702970299</v>
      </c>
      <c r="AL116">
        <f t="shared" si="27"/>
        <v>0.4591046061127852</v>
      </c>
      <c r="AM116">
        <v>115</v>
      </c>
    </row>
    <row r="117" spans="25:39" x14ac:dyDescent="0.25">
      <c r="Y117">
        <v>17</v>
      </c>
      <c r="Z117">
        <f t="shared" si="20"/>
        <v>3.063063063063063E-2</v>
      </c>
      <c r="AA117">
        <f t="shared" si="21"/>
        <v>1.2304489213782739</v>
      </c>
      <c r="AB117">
        <f t="shared" si="24"/>
        <v>1.5138440617444024</v>
      </c>
      <c r="AC117">
        <f>SUM($AB$2:AB117)</f>
        <v>70.041354918385366</v>
      </c>
      <c r="AD117">
        <f t="shared" si="25"/>
        <v>0.60380478377918423</v>
      </c>
      <c r="AE117">
        <v>116</v>
      </c>
      <c r="AG117">
        <v>50</v>
      </c>
      <c r="AH117">
        <f t="shared" si="22"/>
        <v>0.24752475247524752</v>
      </c>
      <c r="AI117">
        <f t="shared" si="23"/>
        <v>1.6989700043360187</v>
      </c>
      <c r="AJ117">
        <f t="shared" si="26"/>
        <v>0.75247524752475248</v>
      </c>
      <c r="AK117">
        <f>SUM($AJ$2:AJ117)</f>
        <v>53.549504950495049</v>
      </c>
      <c r="AL117">
        <f t="shared" si="27"/>
        <v>0.4616336633663366</v>
      </c>
      <c r="AM117">
        <v>116</v>
      </c>
    </row>
    <row r="118" spans="25:39" x14ac:dyDescent="0.25">
      <c r="Y118">
        <v>17</v>
      </c>
      <c r="Z118">
        <f t="shared" si="20"/>
        <v>3.063063063063063E-2</v>
      </c>
      <c r="AA118">
        <f t="shared" si="21"/>
        <v>1.2304489213782739</v>
      </c>
      <c r="AB118">
        <f t="shared" si="24"/>
        <v>1.5138440617444024</v>
      </c>
      <c r="AC118">
        <f>SUM($AB$2:AB118)</f>
        <v>71.555198980129774</v>
      </c>
      <c r="AD118">
        <f t="shared" si="25"/>
        <v>0.61158289726606641</v>
      </c>
      <c r="AE118">
        <v>117</v>
      </c>
      <c r="AG118">
        <v>49</v>
      </c>
      <c r="AH118">
        <f t="shared" si="22"/>
        <v>0.24257425742574257</v>
      </c>
      <c r="AI118">
        <f t="shared" si="23"/>
        <v>1.6901960800285136</v>
      </c>
      <c r="AJ118">
        <f t="shared" si="26"/>
        <v>0.75742574257425743</v>
      </c>
      <c r="AK118">
        <f>SUM($AJ$2:AJ118)</f>
        <v>54.306930693069305</v>
      </c>
      <c r="AL118">
        <f t="shared" si="27"/>
        <v>0.46416180079546415</v>
      </c>
      <c r="AM118">
        <v>117</v>
      </c>
    </row>
    <row r="119" spans="25:39" x14ac:dyDescent="0.25">
      <c r="Y119">
        <v>14</v>
      </c>
      <c r="Z119">
        <f t="shared" si="20"/>
        <v>2.5225225225225224E-2</v>
      </c>
      <c r="AA119">
        <f t="shared" si="21"/>
        <v>1.146128035678238</v>
      </c>
      <c r="AB119">
        <f t="shared" si="24"/>
        <v>1.5981649474444384</v>
      </c>
      <c r="AC119">
        <f>SUM($AB$2:AB119)</f>
        <v>73.153363927574219</v>
      </c>
      <c r="AD119">
        <f t="shared" si="25"/>
        <v>0.61994376209808655</v>
      </c>
      <c r="AE119">
        <v>118</v>
      </c>
      <c r="AG119">
        <v>48</v>
      </c>
      <c r="AH119">
        <f t="shared" si="22"/>
        <v>0.23762376237623761</v>
      </c>
      <c r="AI119">
        <f t="shared" si="23"/>
        <v>1.6812412373755872</v>
      </c>
      <c r="AJ119">
        <f t="shared" si="26"/>
        <v>0.76237623762376239</v>
      </c>
      <c r="AK119">
        <f>SUM($AJ$2:AJ119)</f>
        <v>55.069306930693067</v>
      </c>
      <c r="AL119">
        <f t="shared" si="27"/>
        <v>0.46668904178553444</v>
      </c>
      <c r="AM119">
        <v>118</v>
      </c>
    </row>
    <row r="120" spans="25:39" x14ac:dyDescent="0.25">
      <c r="Y120">
        <v>14</v>
      </c>
      <c r="Z120">
        <f t="shared" si="20"/>
        <v>2.5225225225225224E-2</v>
      </c>
      <c r="AA120">
        <f t="shared" si="21"/>
        <v>1.146128035678238</v>
      </c>
      <c r="AB120">
        <f t="shared" si="24"/>
        <v>1.5981649474444384</v>
      </c>
      <c r="AC120">
        <f>SUM($AB$2:AB120)</f>
        <v>74.751528875018664</v>
      </c>
      <c r="AD120">
        <f t="shared" si="25"/>
        <v>0.62816410819343416</v>
      </c>
      <c r="AE120">
        <v>119</v>
      </c>
      <c r="AG120">
        <v>47</v>
      </c>
      <c r="AH120">
        <f t="shared" si="22"/>
        <v>0.23267326732673269</v>
      </c>
      <c r="AI120">
        <f t="shared" si="23"/>
        <v>1.6720978579357175</v>
      </c>
      <c r="AJ120">
        <f t="shared" si="26"/>
        <v>0.76732673267326734</v>
      </c>
      <c r="AK120">
        <f>SUM($AJ$2:AJ120)</f>
        <v>55.836633663366335</v>
      </c>
      <c r="AL120">
        <f t="shared" si="27"/>
        <v>0.46921540893585156</v>
      </c>
      <c r="AM120">
        <v>119</v>
      </c>
    </row>
    <row r="121" spans="25:39" x14ac:dyDescent="0.25">
      <c r="Y121">
        <v>13</v>
      </c>
      <c r="Z121">
        <f t="shared" si="20"/>
        <v>2.3423423423423424E-2</v>
      </c>
      <c r="AA121">
        <f t="shared" si="21"/>
        <v>1.1139433523068367</v>
      </c>
      <c r="AB121">
        <f t="shared" si="24"/>
        <v>1.6303496308158396</v>
      </c>
      <c r="AC121">
        <f>SUM($AB$2:AB121)</f>
        <v>76.381878505834507</v>
      </c>
      <c r="AD121">
        <f t="shared" si="25"/>
        <v>0.63651565421528755</v>
      </c>
      <c r="AE121">
        <v>120</v>
      </c>
      <c r="AG121">
        <v>46</v>
      </c>
      <c r="AH121">
        <f t="shared" si="22"/>
        <v>0.22772277227722773</v>
      </c>
      <c r="AI121">
        <f t="shared" si="23"/>
        <v>1.6627578316815741</v>
      </c>
      <c r="AJ121">
        <f t="shared" si="26"/>
        <v>0.7722772277227723</v>
      </c>
      <c r="AK121">
        <f>SUM($AJ$2:AJ121)</f>
        <v>56.60891089108911</v>
      </c>
      <c r="AL121">
        <f t="shared" si="27"/>
        <v>0.47174092409240925</v>
      </c>
      <c r="AM121">
        <v>120</v>
      </c>
    </row>
    <row r="122" spans="25:39" x14ac:dyDescent="0.25">
      <c r="Y122">
        <v>10</v>
      </c>
      <c r="Z122">
        <f t="shared" si="20"/>
        <v>1.8018018018018018E-2</v>
      </c>
      <c r="AA122">
        <f t="shared" si="21"/>
        <v>1</v>
      </c>
      <c r="AB122">
        <f t="shared" si="24"/>
        <v>1.7442929831226763</v>
      </c>
      <c r="AC122">
        <f>SUM($AB$2:AB122)</f>
        <v>78.126171488957183</v>
      </c>
      <c r="AD122">
        <f t="shared" si="25"/>
        <v>0.64567083875171227</v>
      </c>
      <c r="AE122">
        <v>121</v>
      </c>
      <c r="AG122">
        <v>45</v>
      </c>
      <c r="AH122">
        <f t="shared" si="22"/>
        <v>0.22277227722772278</v>
      </c>
      <c r="AI122">
        <f t="shared" si="23"/>
        <v>1.6532125137753437</v>
      </c>
      <c r="AJ122">
        <f t="shared" si="26"/>
        <v>0.77722772277227725</v>
      </c>
      <c r="AK122">
        <f>SUM($AJ$2:AJ122)</f>
        <v>57.386138613861384</v>
      </c>
      <c r="AL122">
        <f t="shared" si="27"/>
        <v>0.47426560837901971</v>
      </c>
      <c r="AM122">
        <v>121</v>
      </c>
    </row>
    <row r="123" spans="25:39" x14ac:dyDescent="0.25">
      <c r="Y123">
        <v>10</v>
      </c>
      <c r="Z123">
        <f t="shared" si="20"/>
        <v>1.8018018018018018E-2</v>
      </c>
      <c r="AA123">
        <f t="shared" si="21"/>
        <v>1</v>
      </c>
      <c r="AB123">
        <f t="shared" si="24"/>
        <v>1.7442929831226763</v>
      </c>
      <c r="AC123">
        <f>SUM($AB$2:AB123)</f>
        <v>79.87046447207986</v>
      </c>
      <c r="AD123">
        <f t="shared" si="25"/>
        <v>0.65467593829573656</v>
      </c>
      <c r="AE123">
        <v>122</v>
      </c>
      <c r="AG123">
        <v>44</v>
      </c>
      <c r="AH123">
        <f t="shared" si="22"/>
        <v>0.21782178217821782</v>
      </c>
      <c r="AI123">
        <f t="shared" si="23"/>
        <v>1.6434526764861874</v>
      </c>
      <c r="AJ123">
        <f t="shared" si="26"/>
        <v>0.78217821782178221</v>
      </c>
      <c r="AK123">
        <f>SUM($AJ$2:AJ123)</f>
        <v>58.168316831683164</v>
      </c>
      <c r="AL123">
        <f t="shared" si="27"/>
        <v>0.4767894822269112</v>
      </c>
      <c r="AM123">
        <v>122</v>
      </c>
    </row>
    <row r="124" spans="25:39" x14ac:dyDescent="0.25">
      <c r="Y124">
        <v>10</v>
      </c>
      <c r="Z124">
        <f t="shared" si="20"/>
        <v>1.8018018018018018E-2</v>
      </c>
      <c r="AA124">
        <f t="shared" si="21"/>
        <v>1</v>
      </c>
      <c r="AB124">
        <f t="shared" si="24"/>
        <v>1.7442929831226763</v>
      </c>
      <c r="AC124">
        <f>SUM($AB$2:AB124)</f>
        <v>81.614757455202536</v>
      </c>
      <c r="AD124">
        <f t="shared" si="25"/>
        <v>0.66353461345693121</v>
      </c>
      <c r="AE124">
        <v>123</v>
      </c>
      <c r="AG124">
        <v>43</v>
      </c>
      <c r="AH124">
        <f t="shared" si="22"/>
        <v>0.21287128712871287</v>
      </c>
      <c r="AI124">
        <f t="shared" si="23"/>
        <v>1.6334684555795864</v>
      </c>
      <c r="AJ124">
        <f t="shared" si="26"/>
        <v>0.78712871287128716</v>
      </c>
      <c r="AK124">
        <f>SUM($AJ$2:AJ124)</f>
        <v>58.955445544554451</v>
      </c>
      <c r="AL124">
        <f t="shared" si="27"/>
        <v>0.4793125654028817</v>
      </c>
      <c r="AM124">
        <v>123</v>
      </c>
    </row>
    <row r="125" spans="25:39" x14ac:dyDescent="0.25">
      <c r="Y125">
        <v>8</v>
      </c>
      <c r="Z125">
        <f t="shared" si="20"/>
        <v>1.4414414414414415E-2</v>
      </c>
      <c r="AA125">
        <f t="shared" si="21"/>
        <v>0.90308998699194354</v>
      </c>
      <c r="AB125">
        <f t="shared" si="24"/>
        <v>1.8412029961307328</v>
      </c>
      <c r="AC125">
        <f>SUM($AB$2:AB125)</f>
        <v>83.455960451333269</v>
      </c>
      <c r="AD125">
        <f t="shared" si="25"/>
        <v>0.67303193912365544</v>
      </c>
      <c r="AE125">
        <v>124</v>
      </c>
      <c r="AG125">
        <v>42</v>
      </c>
      <c r="AH125">
        <f t="shared" si="22"/>
        <v>0.20792079207920791</v>
      </c>
      <c r="AI125">
        <f t="shared" si="23"/>
        <v>1.6232492903979006</v>
      </c>
      <c r="AJ125">
        <f t="shared" si="26"/>
        <v>0.79207920792079212</v>
      </c>
      <c r="AK125">
        <f>SUM($AJ$2:AJ125)</f>
        <v>59.747524752475243</v>
      </c>
      <c r="AL125">
        <f t="shared" si="27"/>
        <v>0.48183487703609068</v>
      </c>
      <c r="AM125">
        <v>124</v>
      </c>
    </row>
    <row r="126" spans="25:39" x14ac:dyDescent="0.25">
      <c r="Y126">
        <v>8</v>
      </c>
      <c r="Z126">
        <f t="shared" si="20"/>
        <v>1.4414414414414415E-2</v>
      </c>
      <c r="AA126">
        <f t="shared" si="21"/>
        <v>0.90308998699194354</v>
      </c>
      <c r="AB126">
        <f t="shared" si="24"/>
        <v>1.8412029961307328</v>
      </c>
      <c r="AC126">
        <f>SUM($AB$2:AB126)</f>
        <v>85.297163447464001</v>
      </c>
      <c r="AD126">
        <f t="shared" si="25"/>
        <v>0.68237730757971204</v>
      </c>
      <c r="AE126">
        <v>125</v>
      </c>
      <c r="AG126">
        <v>41</v>
      </c>
      <c r="AH126">
        <f t="shared" si="22"/>
        <v>0.20297029702970298</v>
      </c>
      <c r="AI126">
        <f t="shared" si="23"/>
        <v>1.6127838567197355</v>
      </c>
      <c r="AJ126">
        <f t="shared" si="26"/>
        <v>0.79702970297029707</v>
      </c>
      <c r="AK126">
        <f>SUM($AJ$2:AJ126)</f>
        <v>60.544554455445542</v>
      </c>
      <c r="AL126">
        <f t="shared" si="27"/>
        <v>0.48435643564356434</v>
      </c>
      <c r="AM126">
        <v>125</v>
      </c>
    </row>
    <row r="127" spans="25:39" x14ac:dyDescent="0.25">
      <c r="Y127">
        <v>8</v>
      </c>
      <c r="Z127">
        <f t="shared" si="20"/>
        <v>1.4414414414414415E-2</v>
      </c>
      <c r="AA127">
        <f t="shared" si="21"/>
        <v>0.90308998699194354</v>
      </c>
      <c r="AB127">
        <f t="shared" si="24"/>
        <v>1.8412029961307328</v>
      </c>
      <c r="AC127">
        <f>SUM($AB$2:AB127)</f>
        <v>87.138366443594734</v>
      </c>
      <c r="AD127">
        <f t="shared" si="25"/>
        <v>0.69157433685392644</v>
      </c>
      <c r="AE127">
        <v>126</v>
      </c>
      <c r="AG127">
        <v>40</v>
      </c>
      <c r="AH127">
        <f t="shared" si="22"/>
        <v>0.19801980198019803</v>
      </c>
      <c r="AI127">
        <f t="shared" si="23"/>
        <v>1.6020599913279623</v>
      </c>
      <c r="AJ127">
        <f t="shared" si="26"/>
        <v>0.80198019801980203</v>
      </c>
      <c r="AK127">
        <f>SUM($AJ$2:AJ127)</f>
        <v>61.346534653465348</v>
      </c>
      <c r="AL127">
        <f t="shared" si="27"/>
        <v>0.48687725915448687</v>
      </c>
      <c r="AM127">
        <v>126</v>
      </c>
    </row>
    <row r="128" spans="25:39" x14ac:dyDescent="0.25">
      <c r="Y128">
        <v>8</v>
      </c>
      <c r="Z128">
        <f t="shared" si="20"/>
        <v>1.4414414414414415E-2</v>
      </c>
      <c r="AA128">
        <f t="shared" si="21"/>
        <v>0.90308998699194354</v>
      </c>
      <c r="AB128">
        <f t="shared" si="24"/>
        <v>1.8412029961307328</v>
      </c>
      <c r="AC128">
        <f>SUM($AB$2:AB128)</f>
        <v>88.979569439725466</v>
      </c>
      <c r="AD128">
        <f t="shared" si="25"/>
        <v>0.70062653102146033</v>
      </c>
      <c r="AE128">
        <v>127</v>
      </c>
      <c r="AG128">
        <v>39</v>
      </c>
      <c r="AH128">
        <f t="shared" si="22"/>
        <v>0.19306930693069307</v>
      </c>
      <c r="AI128">
        <f t="shared" si="23"/>
        <v>1.5910646070264991</v>
      </c>
      <c r="AJ128">
        <f t="shared" si="26"/>
        <v>0.80693069306930698</v>
      </c>
      <c r="AK128">
        <f>SUM($AJ$2:AJ128)</f>
        <v>62.153465346534652</v>
      </c>
      <c r="AL128">
        <f t="shared" si="27"/>
        <v>0.48939736493334374</v>
      </c>
      <c r="AM128">
        <v>127</v>
      </c>
    </row>
    <row r="129" spans="25:39" x14ac:dyDescent="0.25">
      <c r="Y129">
        <v>8</v>
      </c>
      <c r="Z129">
        <f t="shared" si="20"/>
        <v>1.4414414414414415E-2</v>
      </c>
      <c r="AA129">
        <f t="shared" si="21"/>
        <v>0.90308998699194354</v>
      </c>
      <c r="AB129">
        <f t="shared" si="24"/>
        <v>1.8412029961307328</v>
      </c>
      <c r="AC129">
        <f>SUM($AB$2:AB129)</f>
        <v>90.820772435856199</v>
      </c>
      <c r="AD129">
        <f t="shared" si="25"/>
        <v>0.70953728465512655</v>
      </c>
      <c r="AE129">
        <v>128</v>
      </c>
      <c r="AG129">
        <v>38</v>
      </c>
      <c r="AH129">
        <f t="shared" si="22"/>
        <v>0.18811881188118812</v>
      </c>
      <c r="AI129">
        <f t="shared" si="23"/>
        <v>1.5797835966168101</v>
      </c>
      <c r="AJ129">
        <f t="shared" si="26"/>
        <v>0.81188118811881194</v>
      </c>
      <c r="AK129">
        <f>SUM($AJ$2:AJ129)</f>
        <v>62.965346534653463</v>
      </c>
      <c r="AL129">
        <f t="shared" si="27"/>
        <v>0.49191676980198018</v>
      </c>
      <c r="AM129">
        <v>128</v>
      </c>
    </row>
    <row r="130" spans="25:39" x14ac:dyDescent="0.25">
      <c r="Y130">
        <v>6</v>
      </c>
      <c r="Z130">
        <f t="shared" ref="Z130:Z157" si="28">Y130/MAX($Y$1:$Y$157)</f>
        <v>1.0810810810810811E-2</v>
      </c>
      <c r="AA130">
        <f t="shared" ref="AA130:AA157" si="29">LOG(Y130)</f>
        <v>0.77815125038364363</v>
      </c>
      <c r="AB130">
        <f t="shared" si="24"/>
        <v>1.9661417327390327</v>
      </c>
      <c r="AC130">
        <f>SUM($AB$2:AB130)</f>
        <v>92.786914168595231</v>
      </c>
      <c r="AD130">
        <f t="shared" si="25"/>
        <v>0.71927840440771496</v>
      </c>
      <c r="AE130">
        <v>129</v>
      </c>
      <c r="AG130">
        <v>37</v>
      </c>
      <c r="AH130">
        <f t="shared" ref="AH130:AH156" si="30">AG130/MAX($AG$1:$AG$156)</f>
        <v>0.18316831683168316</v>
      </c>
      <c r="AI130">
        <f t="shared" ref="AI130:AI156" si="31">LOG(AG130)</f>
        <v>1.568201724066995</v>
      </c>
      <c r="AJ130">
        <f t="shared" si="26"/>
        <v>0.81683168316831689</v>
      </c>
      <c r="AK130">
        <f>SUM($AJ$2:AJ130)</f>
        <v>63.78217821782178</v>
      </c>
      <c r="AL130">
        <f t="shared" si="27"/>
        <v>0.49443549006063398</v>
      </c>
      <c r="AM130">
        <v>129</v>
      </c>
    </row>
    <row r="131" spans="25:39" x14ac:dyDescent="0.25">
      <c r="Y131">
        <v>6</v>
      </c>
      <c r="Z131">
        <f t="shared" si="28"/>
        <v>1.0810810810810811E-2</v>
      </c>
      <c r="AA131">
        <f t="shared" si="29"/>
        <v>0.77815125038364363</v>
      </c>
      <c r="AB131">
        <f t="shared" ref="AB131:AB157" si="32">$AA$1-AA131</f>
        <v>1.9661417327390327</v>
      </c>
      <c r="AC131">
        <f>SUM($AB$2:AB131)</f>
        <v>94.753055901334264</v>
      </c>
      <c r="AD131">
        <f t="shared" ref="AD131:AD157" si="33">AC131/AE131</f>
        <v>0.72886966077949433</v>
      </c>
      <c r="AE131">
        <v>130</v>
      </c>
      <c r="AG131">
        <v>36</v>
      </c>
      <c r="AH131">
        <f t="shared" si="30"/>
        <v>0.17821782178217821</v>
      </c>
      <c r="AI131">
        <f t="shared" si="31"/>
        <v>1.5563025007672873</v>
      </c>
      <c r="AJ131">
        <f t="shared" ref="AJ131:AJ156" si="34">$AH$1-AH131</f>
        <v>0.82178217821782185</v>
      </c>
      <c r="AK131">
        <f>SUM($AJ$2:AJ131)</f>
        <v>64.603960396039597</v>
      </c>
      <c r="AL131">
        <f t="shared" ref="AL131:AL156" si="35">AK131/AM131</f>
        <v>0.49695354150799692</v>
      </c>
      <c r="AM131">
        <v>130</v>
      </c>
    </row>
    <row r="132" spans="25:39" x14ac:dyDescent="0.25">
      <c r="Y132">
        <v>6</v>
      </c>
      <c r="Z132">
        <f t="shared" si="28"/>
        <v>1.0810810810810811E-2</v>
      </c>
      <c r="AA132">
        <f t="shared" si="29"/>
        <v>0.77815125038364363</v>
      </c>
      <c r="AB132">
        <f t="shared" si="32"/>
        <v>1.9661417327390327</v>
      </c>
      <c r="AC132">
        <f>SUM($AB$2:AB132)</f>
        <v>96.719197634073296</v>
      </c>
      <c r="AD132">
        <f t="shared" si="33"/>
        <v>0.73831448575628467</v>
      </c>
      <c r="AE132">
        <v>131</v>
      </c>
      <c r="AG132">
        <v>35</v>
      </c>
      <c r="AH132">
        <f t="shared" si="30"/>
        <v>0.17326732673267325</v>
      </c>
      <c r="AI132">
        <f t="shared" si="31"/>
        <v>1.5440680443502757</v>
      </c>
      <c r="AJ132">
        <f t="shared" si="34"/>
        <v>0.8267326732673268</v>
      </c>
      <c r="AK132">
        <f>SUM($AJ$2:AJ132)</f>
        <v>65.430693069306926</v>
      </c>
      <c r="AL132">
        <f t="shared" si="35"/>
        <v>0.4994709394603582</v>
      </c>
      <c r="AM132">
        <v>131</v>
      </c>
    </row>
    <row r="133" spans="25:39" x14ac:dyDescent="0.25">
      <c r="Y133">
        <v>5</v>
      </c>
      <c r="Z133">
        <f t="shared" si="28"/>
        <v>9.0090090090090089E-3</v>
      </c>
      <c r="AA133">
        <f t="shared" si="29"/>
        <v>0.69897000433601886</v>
      </c>
      <c r="AB133">
        <f t="shared" si="32"/>
        <v>2.0453229787866576</v>
      </c>
      <c r="AC133">
        <f>SUM($AB$2:AB133)</f>
        <v>98.764520612859954</v>
      </c>
      <c r="AD133">
        <f t="shared" si="33"/>
        <v>0.74821606524893902</v>
      </c>
      <c r="AE133">
        <v>132</v>
      </c>
      <c r="AG133">
        <v>34</v>
      </c>
      <c r="AH133">
        <f t="shared" si="30"/>
        <v>0.16831683168316833</v>
      </c>
      <c r="AI133">
        <f t="shared" si="31"/>
        <v>1.5314789170422551</v>
      </c>
      <c r="AJ133">
        <f t="shared" si="34"/>
        <v>0.83168316831683164</v>
      </c>
      <c r="AK133">
        <f>SUM($AJ$2:AJ133)</f>
        <v>66.262376237623755</v>
      </c>
      <c r="AL133">
        <f t="shared" si="35"/>
        <v>0.50198769876987692</v>
      </c>
      <c r="AM133">
        <v>132</v>
      </c>
    </row>
    <row r="134" spans="25:39" x14ac:dyDescent="0.25">
      <c r="Y134">
        <v>4</v>
      </c>
      <c r="Z134">
        <f t="shared" si="28"/>
        <v>7.2072072072072073E-3</v>
      </c>
      <c r="AA134">
        <f t="shared" si="29"/>
        <v>0.6020599913279624</v>
      </c>
      <c r="AB134">
        <f t="shared" si="32"/>
        <v>2.1422329917947138</v>
      </c>
      <c r="AC134">
        <f>SUM($AB$2:AB134)</f>
        <v>100.90675360465467</v>
      </c>
      <c r="AD134">
        <f t="shared" si="33"/>
        <v>0.75869739552371929</v>
      </c>
      <c r="AE134">
        <v>133</v>
      </c>
      <c r="AG134">
        <v>33</v>
      </c>
      <c r="AH134">
        <f t="shared" si="30"/>
        <v>0.16336633663366337</v>
      </c>
      <c r="AI134">
        <f t="shared" si="31"/>
        <v>1.5185139398778875</v>
      </c>
      <c r="AJ134">
        <f t="shared" si="34"/>
        <v>0.8366336633663366</v>
      </c>
      <c r="AK134">
        <f>SUM($AJ$2:AJ134)</f>
        <v>67.099009900990097</v>
      </c>
      <c r="AL134">
        <f t="shared" si="35"/>
        <v>0.50450383384203079</v>
      </c>
      <c r="AM134">
        <v>133</v>
      </c>
    </row>
    <row r="135" spans="25:39" x14ac:dyDescent="0.25">
      <c r="Y135">
        <v>4</v>
      </c>
      <c r="Z135">
        <f t="shared" si="28"/>
        <v>7.2072072072072073E-3</v>
      </c>
      <c r="AA135">
        <f t="shared" si="29"/>
        <v>0.6020599913279624</v>
      </c>
      <c r="AB135">
        <f t="shared" si="32"/>
        <v>2.1422329917947138</v>
      </c>
      <c r="AC135">
        <f>SUM($AB$2:AB135)</f>
        <v>103.04898659644938</v>
      </c>
      <c r="AD135">
        <f t="shared" si="33"/>
        <v>0.76902228803320438</v>
      </c>
      <c r="AE135">
        <v>134</v>
      </c>
      <c r="AG135">
        <v>32</v>
      </c>
      <c r="AH135">
        <f t="shared" si="30"/>
        <v>0.15841584158415842</v>
      </c>
      <c r="AI135">
        <f t="shared" si="31"/>
        <v>1.505149978319906</v>
      </c>
      <c r="AJ135">
        <f t="shared" si="34"/>
        <v>0.84158415841584155</v>
      </c>
      <c r="AK135">
        <f>SUM($AJ$2:AJ135)</f>
        <v>67.940594059405939</v>
      </c>
      <c r="AL135">
        <f t="shared" si="35"/>
        <v>0.50701935865228309</v>
      </c>
      <c r="AM135">
        <v>134</v>
      </c>
    </row>
    <row r="136" spans="25:39" x14ac:dyDescent="0.25">
      <c r="Y136">
        <v>4</v>
      </c>
      <c r="Z136">
        <f t="shared" si="28"/>
        <v>7.2072072072072073E-3</v>
      </c>
      <c r="AA136">
        <f t="shared" si="29"/>
        <v>0.6020599913279624</v>
      </c>
      <c r="AB136">
        <f t="shared" si="32"/>
        <v>2.1422329917947138</v>
      </c>
      <c r="AC136">
        <f>SUM($AB$2:AB136)</f>
        <v>105.1912195882441</v>
      </c>
      <c r="AD136">
        <f t="shared" si="33"/>
        <v>0.77919421917217846</v>
      </c>
      <c r="AE136">
        <v>135</v>
      </c>
      <c r="AG136">
        <v>31</v>
      </c>
      <c r="AH136">
        <f t="shared" si="30"/>
        <v>0.15346534653465346</v>
      </c>
      <c r="AI136">
        <f t="shared" si="31"/>
        <v>1.4913616938342726</v>
      </c>
      <c r="AJ136">
        <f t="shared" si="34"/>
        <v>0.84653465346534651</v>
      </c>
      <c r="AK136">
        <f>SUM($AJ$2:AJ136)</f>
        <v>68.787128712871279</v>
      </c>
      <c r="AL136">
        <f t="shared" si="35"/>
        <v>0.50953428676200951</v>
      </c>
      <c r="AM136">
        <v>135</v>
      </c>
    </row>
    <row r="137" spans="25:39" x14ac:dyDescent="0.25">
      <c r="Y137">
        <v>4</v>
      </c>
      <c r="Z137">
        <f t="shared" si="28"/>
        <v>7.2072072072072073E-3</v>
      </c>
      <c r="AA137">
        <f t="shared" si="29"/>
        <v>0.6020599913279624</v>
      </c>
      <c r="AB137">
        <f t="shared" si="32"/>
        <v>2.1422329917947138</v>
      </c>
      <c r="AC137">
        <f>SUM($AB$2:AB137)</f>
        <v>107.33345258003881</v>
      </c>
      <c r="AD137">
        <f t="shared" si="33"/>
        <v>0.78921656308852062</v>
      </c>
      <c r="AE137">
        <v>136</v>
      </c>
      <c r="AG137">
        <v>30</v>
      </c>
      <c r="AH137">
        <f t="shared" si="30"/>
        <v>0.14851485148514851</v>
      </c>
      <c r="AI137">
        <f t="shared" si="31"/>
        <v>1.4771212547196624</v>
      </c>
      <c r="AJ137">
        <f t="shared" si="34"/>
        <v>0.85148514851485146</v>
      </c>
      <c r="AK137">
        <f>SUM($AJ$2:AJ137)</f>
        <v>69.638613861386133</v>
      </c>
      <c r="AL137">
        <f t="shared" si="35"/>
        <v>0.51204863133372158</v>
      </c>
      <c r="AM137">
        <v>136</v>
      </c>
    </row>
    <row r="138" spans="25:39" x14ac:dyDescent="0.25">
      <c r="Y138">
        <v>3</v>
      </c>
      <c r="Z138">
        <f t="shared" si="28"/>
        <v>5.4054054054054057E-3</v>
      </c>
      <c r="AA138">
        <f t="shared" si="29"/>
        <v>0.47712125471966244</v>
      </c>
      <c r="AB138">
        <f t="shared" si="32"/>
        <v>2.2671717284030137</v>
      </c>
      <c r="AC138">
        <f>SUM($AB$2:AB138)</f>
        <v>109.60062430844182</v>
      </c>
      <c r="AD138">
        <f t="shared" si="33"/>
        <v>0.80000455699592576</v>
      </c>
      <c r="AE138">
        <v>137</v>
      </c>
      <c r="AG138">
        <v>29</v>
      </c>
      <c r="AH138">
        <f t="shared" si="30"/>
        <v>0.14356435643564355</v>
      </c>
      <c r="AI138">
        <f t="shared" si="31"/>
        <v>1.4623979978989561</v>
      </c>
      <c r="AJ138">
        <f t="shared" si="34"/>
        <v>0.85643564356435642</v>
      </c>
      <c r="AK138">
        <f>SUM($AJ$2:AJ138)</f>
        <v>70.495049504950487</v>
      </c>
      <c r="AL138">
        <f t="shared" si="35"/>
        <v>0.51456240514562401</v>
      </c>
      <c r="AM138">
        <v>137</v>
      </c>
    </row>
    <row r="139" spans="25:39" x14ac:dyDescent="0.25">
      <c r="Y139">
        <v>3</v>
      </c>
      <c r="Z139">
        <f t="shared" si="28"/>
        <v>5.4054054054054057E-3</v>
      </c>
      <c r="AA139">
        <f t="shared" si="29"/>
        <v>0.47712125471966244</v>
      </c>
      <c r="AB139">
        <f t="shared" si="32"/>
        <v>2.2671717284030137</v>
      </c>
      <c r="AC139">
        <f>SUM($AB$2:AB139)</f>
        <v>111.86779603684484</v>
      </c>
      <c r="AD139">
        <f t="shared" si="33"/>
        <v>0.8106362031655423</v>
      </c>
      <c r="AE139">
        <v>138</v>
      </c>
      <c r="AG139">
        <v>28</v>
      </c>
      <c r="AH139">
        <f t="shared" si="30"/>
        <v>0.13861386138613863</v>
      </c>
      <c r="AI139">
        <f t="shared" si="31"/>
        <v>1.4471580313422192</v>
      </c>
      <c r="AJ139">
        <f t="shared" si="34"/>
        <v>0.86138613861386137</v>
      </c>
      <c r="AK139">
        <f>SUM($AJ$2:AJ139)</f>
        <v>71.356435643564353</v>
      </c>
      <c r="AL139">
        <f t="shared" si="35"/>
        <v>0.5170756206055388</v>
      </c>
      <c r="AM139">
        <v>138</v>
      </c>
    </row>
    <row r="140" spans="25:39" x14ac:dyDescent="0.25">
      <c r="Y140">
        <v>3</v>
      </c>
      <c r="Z140">
        <f t="shared" si="28"/>
        <v>5.4054054054054057E-3</v>
      </c>
      <c r="AA140">
        <f t="shared" si="29"/>
        <v>0.47712125471966244</v>
      </c>
      <c r="AB140">
        <f t="shared" si="32"/>
        <v>2.2671717284030137</v>
      </c>
      <c r="AC140">
        <f>SUM($AB$2:AB140)</f>
        <v>114.13496776524785</v>
      </c>
      <c r="AD140">
        <f t="shared" si="33"/>
        <v>0.82111487600897737</v>
      </c>
      <c r="AE140">
        <v>139</v>
      </c>
      <c r="AG140">
        <v>27</v>
      </c>
      <c r="AH140">
        <f t="shared" si="30"/>
        <v>0.13366336633663367</v>
      </c>
      <c r="AI140">
        <f t="shared" si="31"/>
        <v>1.4313637641589874</v>
      </c>
      <c r="AJ140">
        <f t="shared" si="34"/>
        <v>0.86633663366336633</v>
      </c>
      <c r="AK140">
        <f>SUM($AJ$2:AJ140)</f>
        <v>72.222772277227719</v>
      </c>
      <c r="AL140">
        <f t="shared" si="35"/>
        <v>0.51958828976422822</v>
      </c>
      <c r="AM140">
        <v>139</v>
      </c>
    </row>
    <row r="141" spans="25:39" x14ac:dyDescent="0.25">
      <c r="Y141">
        <v>3</v>
      </c>
      <c r="Z141">
        <f t="shared" si="28"/>
        <v>5.4054054054054057E-3</v>
      </c>
      <c r="AA141">
        <f t="shared" si="29"/>
        <v>0.47712125471966244</v>
      </c>
      <c r="AB141">
        <f t="shared" si="32"/>
        <v>2.2671717284030137</v>
      </c>
      <c r="AC141">
        <f>SUM($AB$2:AB141)</f>
        <v>116.40213949365086</v>
      </c>
      <c r="AD141">
        <f t="shared" si="33"/>
        <v>0.83144385352607764</v>
      </c>
      <c r="AE141">
        <v>140</v>
      </c>
      <c r="AG141">
        <v>26</v>
      </c>
      <c r="AH141">
        <f t="shared" si="30"/>
        <v>0.12871287128712872</v>
      </c>
      <c r="AI141">
        <f t="shared" si="31"/>
        <v>1.414973347970818</v>
      </c>
      <c r="AJ141">
        <f t="shared" si="34"/>
        <v>0.87128712871287128</v>
      </c>
      <c r="AK141">
        <f>SUM($AJ$2:AJ141)</f>
        <v>73.094059405940584</v>
      </c>
      <c r="AL141">
        <f t="shared" si="35"/>
        <v>0.52210042432814707</v>
      </c>
      <c r="AM141">
        <v>140</v>
      </c>
    </row>
    <row r="142" spans="25:39" x14ac:dyDescent="0.25">
      <c r="Y142">
        <v>2</v>
      </c>
      <c r="Z142">
        <f t="shared" si="28"/>
        <v>3.6036036036036037E-3</v>
      </c>
      <c r="AA142">
        <f t="shared" si="29"/>
        <v>0.3010299956639812</v>
      </c>
      <c r="AB142">
        <f t="shared" si="32"/>
        <v>2.4432629874586951</v>
      </c>
      <c r="AC142">
        <f>SUM($AB$2:AB142)</f>
        <v>118.84540248110956</v>
      </c>
      <c r="AD142">
        <f t="shared" si="33"/>
        <v>0.84287519490148621</v>
      </c>
      <c r="AE142">
        <v>141</v>
      </c>
      <c r="AG142">
        <v>25</v>
      </c>
      <c r="AH142">
        <f t="shared" si="30"/>
        <v>0.12376237623762376</v>
      </c>
      <c r="AI142">
        <f t="shared" si="31"/>
        <v>1.3979400086720377</v>
      </c>
      <c r="AJ142">
        <f t="shared" si="34"/>
        <v>0.87623762376237624</v>
      </c>
      <c r="AK142">
        <f>SUM($AJ$2:AJ142)</f>
        <v>73.970297029702962</v>
      </c>
      <c r="AL142">
        <f t="shared" si="35"/>
        <v>0.52461203567165227</v>
      </c>
      <c r="AM142">
        <v>141</v>
      </c>
    </row>
    <row r="143" spans="25:39" x14ac:dyDescent="0.25">
      <c r="Y143">
        <v>2</v>
      </c>
      <c r="Z143">
        <f t="shared" si="28"/>
        <v>3.6036036036036037E-3</v>
      </c>
      <c r="AA143">
        <f t="shared" si="29"/>
        <v>0.3010299956639812</v>
      </c>
      <c r="AB143">
        <f t="shared" si="32"/>
        <v>2.4432629874586951</v>
      </c>
      <c r="AC143">
        <f>SUM($AB$2:AB143)</f>
        <v>121.28866546856825</v>
      </c>
      <c r="AD143">
        <f t="shared" si="33"/>
        <v>0.85414553146879058</v>
      </c>
      <c r="AE143">
        <v>142</v>
      </c>
      <c r="AG143">
        <v>24</v>
      </c>
      <c r="AH143">
        <f t="shared" si="30"/>
        <v>0.11881188118811881</v>
      </c>
      <c r="AI143">
        <f t="shared" si="31"/>
        <v>1.3802112417116059</v>
      </c>
      <c r="AJ143">
        <f t="shared" si="34"/>
        <v>0.88118811881188119</v>
      </c>
      <c r="AK143">
        <f>SUM($AJ$2:AJ143)</f>
        <v>74.85148514851484</v>
      </c>
      <c r="AL143">
        <f t="shared" si="35"/>
        <v>0.52712313484869611</v>
      </c>
      <c r="AM143">
        <v>142</v>
      </c>
    </row>
    <row r="144" spans="25:39" x14ac:dyDescent="0.25">
      <c r="Y144">
        <v>2</v>
      </c>
      <c r="Z144">
        <f t="shared" si="28"/>
        <v>3.6036036036036037E-3</v>
      </c>
      <c r="AA144">
        <f t="shared" si="29"/>
        <v>0.3010299956639812</v>
      </c>
      <c r="AB144">
        <f t="shared" si="32"/>
        <v>2.4432629874586951</v>
      </c>
      <c r="AC144">
        <f>SUM($AB$2:AB144)</f>
        <v>123.73192845602695</v>
      </c>
      <c r="AD144">
        <f t="shared" si="33"/>
        <v>0.86525824095123738</v>
      </c>
      <c r="AE144">
        <v>143</v>
      </c>
      <c r="AG144">
        <v>23</v>
      </c>
      <c r="AH144">
        <f t="shared" si="30"/>
        <v>0.11386138613861387</v>
      </c>
      <c r="AI144">
        <f t="shared" si="31"/>
        <v>1.3617278360175928</v>
      </c>
      <c r="AJ144">
        <f t="shared" si="34"/>
        <v>0.88613861386138615</v>
      </c>
      <c r="AK144">
        <f>SUM($AJ$2:AJ144)</f>
        <v>75.737623762376231</v>
      </c>
      <c r="AL144">
        <f t="shared" si="35"/>
        <v>0.52963373260402957</v>
      </c>
      <c r="AM144">
        <v>143</v>
      </c>
    </row>
    <row r="145" spans="25:39" x14ac:dyDescent="0.25">
      <c r="Y145">
        <v>2</v>
      </c>
      <c r="Z145">
        <f t="shared" si="28"/>
        <v>3.6036036036036037E-3</v>
      </c>
      <c r="AA145">
        <f t="shared" si="29"/>
        <v>0.3010299956639812</v>
      </c>
      <c r="AB145">
        <f t="shared" si="32"/>
        <v>2.4432629874586951</v>
      </c>
      <c r="AC145">
        <f>SUM($AB$2:AB145)</f>
        <v>126.17519144348564</v>
      </c>
      <c r="AD145">
        <f t="shared" si="33"/>
        <v>0.87621660724642814</v>
      </c>
      <c r="AE145">
        <v>144</v>
      </c>
      <c r="AG145">
        <v>22</v>
      </c>
      <c r="AH145">
        <f t="shared" si="30"/>
        <v>0.10891089108910891</v>
      </c>
      <c r="AI145">
        <f t="shared" si="31"/>
        <v>1.3424226808222062</v>
      </c>
      <c r="AJ145">
        <f t="shared" si="34"/>
        <v>0.8910891089108911</v>
      </c>
      <c r="AK145">
        <f>SUM($AJ$2:AJ145)</f>
        <v>76.628712871287121</v>
      </c>
      <c r="AL145">
        <f t="shared" si="35"/>
        <v>0.53214383938393839</v>
      </c>
      <c r="AM145">
        <v>144</v>
      </c>
    </row>
    <row r="146" spans="25:39" x14ac:dyDescent="0.25">
      <c r="Y146">
        <v>2</v>
      </c>
      <c r="Z146">
        <f t="shared" si="28"/>
        <v>3.6036036036036037E-3</v>
      </c>
      <c r="AA146">
        <f t="shared" si="29"/>
        <v>0.3010299956639812</v>
      </c>
      <c r="AB146">
        <f t="shared" si="32"/>
        <v>2.4432629874586951</v>
      </c>
      <c r="AC146">
        <f>SUM($AB$2:AB146)</f>
        <v>128.61845443094433</v>
      </c>
      <c r="AD146">
        <f t="shared" si="33"/>
        <v>0.88702382366168497</v>
      </c>
      <c r="AE146">
        <v>145</v>
      </c>
      <c r="AG146">
        <v>21</v>
      </c>
      <c r="AH146">
        <f t="shared" si="30"/>
        <v>0.10396039603960396</v>
      </c>
      <c r="AI146">
        <f t="shared" si="31"/>
        <v>1.3222192947339193</v>
      </c>
      <c r="AJ146">
        <f t="shared" si="34"/>
        <v>0.89603960396039606</v>
      </c>
      <c r="AK146">
        <f>SUM($AJ$2:AJ146)</f>
        <v>77.52475247524751</v>
      </c>
      <c r="AL146">
        <f t="shared" si="35"/>
        <v>0.53465346534653457</v>
      </c>
      <c r="AM146">
        <v>145</v>
      </c>
    </row>
    <row r="147" spans="25:39" x14ac:dyDescent="0.25">
      <c r="Y147">
        <v>2</v>
      </c>
      <c r="Z147">
        <f t="shared" si="28"/>
        <v>3.6036036036036037E-3</v>
      </c>
      <c r="AA147">
        <f t="shared" si="29"/>
        <v>0.3010299956639812</v>
      </c>
      <c r="AB147">
        <f t="shared" si="32"/>
        <v>2.4432629874586951</v>
      </c>
      <c r="AC147">
        <f>SUM($AB$2:AB147)</f>
        <v>131.06171741840302</v>
      </c>
      <c r="AD147">
        <f t="shared" si="33"/>
        <v>0.89768299601645907</v>
      </c>
      <c r="AE147">
        <v>146</v>
      </c>
      <c r="AG147">
        <v>20</v>
      </c>
      <c r="AH147">
        <f t="shared" si="30"/>
        <v>9.9009900990099015E-2</v>
      </c>
      <c r="AI147">
        <f t="shared" si="31"/>
        <v>1.3010299956639813</v>
      </c>
      <c r="AJ147">
        <f t="shared" si="34"/>
        <v>0.90099009900990101</v>
      </c>
      <c r="AK147">
        <f>SUM($AJ$2:AJ147)</f>
        <v>78.425742574257413</v>
      </c>
      <c r="AL147">
        <f t="shared" si="35"/>
        <v>0.5371626203716261</v>
      </c>
      <c r="AM147">
        <v>146</v>
      </c>
    </row>
    <row r="148" spans="25:39" x14ac:dyDescent="0.25">
      <c r="Y148">
        <v>2</v>
      </c>
      <c r="Z148">
        <f t="shared" si="28"/>
        <v>3.6036036036036037E-3</v>
      </c>
      <c r="AA148">
        <f t="shared" si="29"/>
        <v>0.3010299956639812</v>
      </c>
      <c r="AB148">
        <f t="shared" si="32"/>
        <v>2.4432629874586951</v>
      </c>
      <c r="AC148">
        <f>SUM($AB$2:AB148)</f>
        <v>133.50498040586172</v>
      </c>
      <c r="AD148">
        <f t="shared" si="33"/>
        <v>0.90819714561810694</v>
      </c>
      <c r="AE148">
        <v>147</v>
      </c>
      <c r="AG148">
        <v>19</v>
      </c>
      <c r="AH148">
        <f t="shared" si="30"/>
        <v>9.405940594059406E-2</v>
      </c>
      <c r="AI148">
        <f t="shared" si="31"/>
        <v>1.2787536009528289</v>
      </c>
      <c r="AJ148">
        <f t="shared" si="34"/>
        <v>0.90594059405940597</v>
      </c>
      <c r="AK148">
        <f>SUM($AJ$2:AJ148)</f>
        <v>79.331683168316815</v>
      </c>
      <c r="AL148">
        <f t="shared" si="35"/>
        <v>0.53967131407018243</v>
      </c>
      <c r="AM148">
        <v>147</v>
      </c>
    </row>
    <row r="149" spans="25:39" x14ac:dyDescent="0.25">
      <c r="Y149">
        <v>2</v>
      </c>
      <c r="Z149">
        <f t="shared" si="28"/>
        <v>3.6036036036036037E-3</v>
      </c>
      <c r="AA149">
        <f t="shared" si="29"/>
        <v>0.3010299956639812</v>
      </c>
      <c r="AB149">
        <f t="shared" si="32"/>
        <v>2.4432629874586951</v>
      </c>
      <c r="AC149">
        <f>SUM($AB$2:AB149)</f>
        <v>135.94824339332041</v>
      </c>
      <c r="AD149">
        <f t="shared" si="33"/>
        <v>0.9185692121170298</v>
      </c>
      <c r="AE149">
        <v>148</v>
      </c>
      <c r="AG149">
        <v>18</v>
      </c>
      <c r="AH149">
        <f t="shared" si="30"/>
        <v>8.9108910891089105E-2</v>
      </c>
      <c r="AI149">
        <f t="shared" si="31"/>
        <v>1.255272505103306</v>
      </c>
      <c r="AJ149">
        <f t="shared" si="34"/>
        <v>0.91089108910891092</v>
      </c>
      <c r="AK149">
        <f>SUM($AJ$2:AJ149)</f>
        <v>80.24257425742573</v>
      </c>
      <c r="AL149">
        <f t="shared" si="35"/>
        <v>0.54217955579341715</v>
      </c>
      <c r="AM149">
        <v>148</v>
      </c>
    </row>
    <row r="150" spans="25:39" x14ac:dyDescent="0.25">
      <c r="Y150">
        <v>2</v>
      </c>
      <c r="Z150">
        <f t="shared" si="28"/>
        <v>3.6036036036036037E-3</v>
      </c>
      <c r="AA150">
        <f t="shared" si="29"/>
        <v>0.3010299956639812</v>
      </c>
      <c r="AB150">
        <f t="shared" si="32"/>
        <v>2.4432629874586951</v>
      </c>
      <c r="AC150">
        <f>SUM($AB$2:AB150)</f>
        <v>138.39150638077911</v>
      </c>
      <c r="AD150">
        <f t="shared" si="33"/>
        <v>0.92880205624683965</v>
      </c>
      <c r="AE150">
        <v>149</v>
      </c>
      <c r="AG150">
        <v>17</v>
      </c>
      <c r="AH150">
        <f t="shared" si="30"/>
        <v>8.4158415841584164E-2</v>
      </c>
      <c r="AI150">
        <f t="shared" si="31"/>
        <v>1.2304489213782739</v>
      </c>
      <c r="AJ150">
        <f t="shared" si="34"/>
        <v>0.91584158415841588</v>
      </c>
      <c r="AK150">
        <f>SUM($AJ$2:AJ150)</f>
        <v>81.158415841584144</v>
      </c>
      <c r="AL150">
        <f t="shared" si="35"/>
        <v>0.54468735464150431</v>
      </c>
      <c r="AM150">
        <v>149</v>
      </c>
    </row>
    <row r="151" spans="25:39" x14ac:dyDescent="0.25">
      <c r="Y151">
        <v>1</v>
      </c>
      <c r="Z151">
        <f t="shared" si="28"/>
        <v>1.8018018018018018E-3</v>
      </c>
      <c r="AA151">
        <f t="shared" si="29"/>
        <v>0</v>
      </c>
      <c r="AB151">
        <f t="shared" si="32"/>
        <v>2.7442929831226763</v>
      </c>
      <c r="AC151">
        <f>SUM($AB$2:AB151)</f>
        <v>141.13579936390178</v>
      </c>
      <c r="AD151">
        <f t="shared" si="33"/>
        <v>0.94090532909267854</v>
      </c>
      <c r="AE151">
        <v>150</v>
      </c>
      <c r="AG151">
        <v>16</v>
      </c>
      <c r="AH151">
        <f t="shared" si="30"/>
        <v>7.9207920792079209E-2</v>
      </c>
      <c r="AI151">
        <f t="shared" si="31"/>
        <v>1.2041199826559248</v>
      </c>
      <c r="AJ151">
        <f t="shared" si="34"/>
        <v>0.92079207920792083</v>
      </c>
      <c r="AK151">
        <f>SUM($AJ$2:AJ151)</f>
        <v>82.079207920792072</v>
      </c>
      <c r="AL151">
        <f t="shared" si="35"/>
        <v>0.5471947194719472</v>
      </c>
      <c r="AM151">
        <v>150</v>
      </c>
    </row>
    <row r="152" spans="25:39" x14ac:dyDescent="0.25">
      <c r="Y152">
        <v>1</v>
      </c>
      <c r="Z152">
        <f t="shared" si="28"/>
        <v>1.8018018018018018E-3</v>
      </c>
      <c r="AA152">
        <f t="shared" si="29"/>
        <v>0</v>
      </c>
      <c r="AB152">
        <f t="shared" si="32"/>
        <v>2.7442929831226763</v>
      </c>
      <c r="AC152">
        <f>SUM($AB$2:AB152)</f>
        <v>143.88009234702446</v>
      </c>
      <c r="AD152">
        <f t="shared" si="33"/>
        <v>0.95284829368890367</v>
      </c>
      <c r="AE152">
        <v>151</v>
      </c>
      <c r="AG152">
        <v>15</v>
      </c>
      <c r="AH152">
        <f t="shared" si="30"/>
        <v>7.4257425742574254E-2</v>
      </c>
      <c r="AI152">
        <f t="shared" si="31"/>
        <v>1.1760912590556813</v>
      </c>
      <c r="AJ152">
        <f t="shared" si="34"/>
        <v>0.92574257425742579</v>
      </c>
      <c r="AK152">
        <f>SUM($AJ$2:AJ152)</f>
        <v>83.004950495049499</v>
      </c>
      <c r="AL152">
        <f t="shared" si="35"/>
        <v>0.54970165890761258</v>
      </c>
      <c r="AM152">
        <v>151</v>
      </c>
    </row>
    <row r="153" spans="25:39" x14ac:dyDescent="0.25">
      <c r="Y153">
        <v>1</v>
      </c>
      <c r="Z153">
        <f t="shared" si="28"/>
        <v>1.8018018018018018E-3</v>
      </c>
      <c r="AA153">
        <f t="shared" si="29"/>
        <v>0</v>
      </c>
      <c r="AB153">
        <f t="shared" si="32"/>
        <v>2.7442929831226763</v>
      </c>
      <c r="AC153">
        <f>SUM($AB$2:AB153)</f>
        <v>146.62438533014713</v>
      </c>
      <c r="AD153">
        <f t="shared" si="33"/>
        <v>0.96463411401412591</v>
      </c>
      <c r="AE153">
        <v>152</v>
      </c>
      <c r="AG153">
        <v>14</v>
      </c>
      <c r="AH153">
        <f t="shared" si="30"/>
        <v>6.9306930693069313E-2</v>
      </c>
      <c r="AI153">
        <f t="shared" si="31"/>
        <v>1.146128035678238</v>
      </c>
      <c r="AJ153">
        <f t="shared" si="34"/>
        <v>0.93069306930693063</v>
      </c>
      <c r="AK153">
        <f>SUM($AJ$2:AJ153)</f>
        <v>83.935643564356425</v>
      </c>
      <c r="AL153">
        <f t="shared" si="35"/>
        <v>0.55220818134445016</v>
      </c>
      <c r="AM153">
        <v>152</v>
      </c>
    </row>
    <row r="154" spans="25:39" x14ac:dyDescent="0.25">
      <c r="Y154">
        <v>1</v>
      </c>
      <c r="Z154">
        <f t="shared" si="28"/>
        <v>1.8018018018018018E-3</v>
      </c>
      <c r="AA154">
        <f t="shared" si="29"/>
        <v>0</v>
      </c>
      <c r="AB154">
        <f t="shared" si="32"/>
        <v>2.7442929831226763</v>
      </c>
      <c r="AC154">
        <f>SUM($AB$2:AB154)</f>
        <v>149.36867831326981</v>
      </c>
      <c r="AD154">
        <f t="shared" si="33"/>
        <v>0.97626587132856091</v>
      </c>
      <c r="AE154">
        <v>153</v>
      </c>
      <c r="AG154">
        <v>13</v>
      </c>
      <c r="AH154">
        <f t="shared" si="30"/>
        <v>6.4356435643564358E-2</v>
      </c>
      <c r="AI154">
        <f t="shared" si="31"/>
        <v>1.1139433523068367</v>
      </c>
      <c r="AJ154">
        <f t="shared" si="34"/>
        <v>0.93564356435643559</v>
      </c>
      <c r="AK154">
        <f>SUM($AJ$2:AJ154)</f>
        <v>84.871287128712865</v>
      </c>
      <c r="AL154">
        <f t="shared" si="35"/>
        <v>0.55471429495890756</v>
      </c>
      <c r="AM154">
        <v>153</v>
      </c>
    </row>
    <row r="155" spans="25:39" x14ac:dyDescent="0.25">
      <c r="Y155">
        <v>1</v>
      </c>
      <c r="Z155">
        <f t="shared" si="28"/>
        <v>1.8018018018018018E-3</v>
      </c>
      <c r="AA155">
        <f t="shared" si="29"/>
        <v>0</v>
      </c>
      <c r="AB155">
        <f t="shared" si="32"/>
        <v>2.7442929831226763</v>
      </c>
      <c r="AC155">
        <f>SUM($AB$2:AB155)</f>
        <v>152.11297129639249</v>
      </c>
      <c r="AD155">
        <f t="shared" si="33"/>
        <v>0.98774656685969142</v>
      </c>
      <c r="AE155">
        <v>154</v>
      </c>
      <c r="AG155">
        <v>12</v>
      </c>
      <c r="AH155">
        <f t="shared" si="30"/>
        <v>5.9405940594059403E-2</v>
      </c>
      <c r="AI155">
        <f t="shared" si="31"/>
        <v>1.0791812460476249</v>
      </c>
      <c r="AJ155">
        <f t="shared" si="34"/>
        <v>0.94059405940594054</v>
      </c>
      <c r="AK155">
        <f>SUM($AJ$2:AJ155)</f>
        <v>85.811881188118804</v>
      </c>
      <c r="AL155">
        <f t="shared" si="35"/>
        <v>0.5572200077150572</v>
      </c>
      <c r="AM155">
        <v>154</v>
      </c>
    </row>
    <row r="156" spans="25:39" x14ac:dyDescent="0.25">
      <c r="Y156">
        <v>1</v>
      </c>
      <c r="Z156">
        <f t="shared" si="28"/>
        <v>1.8018018018018018E-3</v>
      </c>
      <c r="AA156">
        <f t="shared" si="29"/>
        <v>0</v>
      </c>
      <c r="AB156">
        <f t="shared" si="32"/>
        <v>2.7442929831226763</v>
      </c>
      <c r="AC156">
        <f>SUM($AB$2:AB156)</f>
        <v>154.85726427951516</v>
      </c>
      <c r="AD156">
        <f t="shared" si="33"/>
        <v>0.99907912438396884</v>
      </c>
      <c r="AE156">
        <v>155</v>
      </c>
      <c r="AG156">
        <v>9</v>
      </c>
      <c r="AH156">
        <f t="shared" si="30"/>
        <v>4.4554455445544552E-2</v>
      </c>
      <c r="AI156">
        <f t="shared" si="31"/>
        <v>0.95424250943932487</v>
      </c>
      <c r="AJ156">
        <f t="shared" si="34"/>
        <v>0.95544554455445541</v>
      </c>
      <c r="AK156">
        <f>SUM($AJ$2:AJ156)</f>
        <v>86.767326732673254</v>
      </c>
      <c r="AL156">
        <f t="shared" si="35"/>
        <v>0.55978920472692417</v>
      </c>
      <c r="AM156">
        <v>155</v>
      </c>
    </row>
    <row r="157" spans="25:39" x14ac:dyDescent="0.25">
      <c r="Y157">
        <v>1</v>
      </c>
      <c r="Z157">
        <f t="shared" si="28"/>
        <v>1.8018018018018018E-3</v>
      </c>
      <c r="AA157">
        <f t="shared" si="29"/>
        <v>0</v>
      </c>
      <c r="AB157">
        <f t="shared" si="32"/>
        <v>2.7442929831226763</v>
      </c>
      <c r="AC157">
        <f>SUM($AB$2:AB157)</f>
        <v>157.60155726263784</v>
      </c>
      <c r="AD157">
        <f t="shared" si="33"/>
        <v>1.010266392709217</v>
      </c>
      <c r="AE157">
        <v>156</v>
      </c>
      <c r="AL157">
        <f>MAX(AL1:AL156)</f>
        <v>0.55978920472692417</v>
      </c>
    </row>
    <row r="158" spans="25:39" x14ac:dyDescent="0.25">
      <c r="AD158">
        <f>MAX(AD2:AD157)</f>
        <v>1.010266392709217</v>
      </c>
      <c r="AL158">
        <f>1/AL157</f>
        <v>1.7863867176356483</v>
      </c>
    </row>
    <row r="159" spans="25:39" x14ac:dyDescent="0.25">
      <c r="AD159">
        <f>1/AD158</f>
        <v>0.98983793504039486</v>
      </c>
    </row>
  </sheetData>
  <sortState xmlns:xlrd2="http://schemas.microsoft.com/office/spreadsheetml/2017/richdata2" ref="AG1:AG24007">
    <sortCondition descending="1" ref="AG1:AG24007"/>
  </sortState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5" x14ac:dyDescent="0.25"/>
  <sheetData>
    <row r="1" spans="1:4" x14ac:dyDescent="0.25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25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25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25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25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25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25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25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25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25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25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25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25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25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25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25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25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25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25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25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25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25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25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25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25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25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25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25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25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25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25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25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25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25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25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25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25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25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25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25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25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25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25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25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25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25">
      <c r="A46">
        <v>2.1739130434782608E-2</v>
      </c>
    </row>
    <row r="47" spans="1:4" x14ac:dyDescent="0.25">
      <c r="B47">
        <f>MEDIAN(B1:B45)</f>
        <v>1.8483405694013133E-2</v>
      </c>
      <c r="C47">
        <f>MEDIAN(C1:C45)</f>
        <v>7.4880213925499622E-3</v>
      </c>
    </row>
    <row r="48" spans="1:4" x14ac:dyDescent="0.25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workbookViewId="0">
      <selection activeCell="X11" sqref="X11"/>
    </sheetView>
  </sheetViews>
  <sheetFormatPr defaultRowHeight="16.5" x14ac:dyDescent="0.25"/>
  <cols>
    <col min="2" max="2" width="9.625" bestFit="1" customWidth="1"/>
    <col min="4" max="4" width="9.5" bestFit="1" customWidth="1"/>
  </cols>
  <sheetData>
    <row r="1" spans="1:23" x14ac:dyDescent="0.25">
      <c r="A1" t="s">
        <v>9</v>
      </c>
      <c r="G1" t="s">
        <v>8</v>
      </c>
    </row>
    <row r="2" spans="1:23" x14ac:dyDescent="0.25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25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25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25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25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25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25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25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25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25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25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25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25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25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25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25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25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25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25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25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25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25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25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25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25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25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25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25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25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25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25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25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25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25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25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25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25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25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25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25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25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25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25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25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25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25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25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25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25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25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25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25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25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25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25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25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25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25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25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25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25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25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25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25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25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25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25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25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25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25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25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25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25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25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25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25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25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25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25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25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25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25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25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25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25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25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25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25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25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25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25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25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25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25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25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25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25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25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25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25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25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25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25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25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25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25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25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25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25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25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25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25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25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25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25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25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25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25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25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25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25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25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25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25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25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25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25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25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25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25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25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25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25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25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25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25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25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25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25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25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25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25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25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25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25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25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25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25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25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25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25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25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25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25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25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25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25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3634-37B4-4341-BB15-C15728856A33}">
  <dimension ref="A1:K49"/>
  <sheetViews>
    <sheetView workbookViewId="0">
      <selection activeCell="J13" sqref="J13"/>
    </sheetView>
  </sheetViews>
  <sheetFormatPr defaultRowHeight="16.5" x14ac:dyDescent="0.25"/>
  <sheetData>
    <row r="1" spans="1:11" x14ac:dyDescent="0.25">
      <c r="A1">
        <v>0</v>
      </c>
      <c r="B1">
        <f>ABS(A1-$D$2)</f>
        <v>48.347826086956523</v>
      </c>
      <c r="D1">
        <f>COUNT(A1:A46)</f>
        <v>46</v>
      </c>
      <c r="E1">
        <f>D1-2</f>
        <v>44</v>
      </c>
      <c r="G1">
        <v>0</v>
      </c>
      <c r="H1">
        <f>ABS(G1-$D$2)</f>
        <v>48.347826086956523</v>
      </c>
      <c r="J1">
        <f>COUNT(G1:G20)</f>
        <v>20</v>
      </c>
      <c r="K1">
        <f>J1-2</f>
        <v>18</v>
      </c>
    </row>
    <row r="2" spans="1:11" x14ac:dyDescent="0.25">
      <c r="A2">
        <v>2</v>
      </c>
      <c r="B2">
        <f t="shared" ref="B2:B46" si="0">ABS(A2-$D$2)</f>
        <v>46.347826086956523</v>
      </c>
      <c r="D2">
        <f>AVERAGE(A1:A46)</f>
        <v>48.347826086956523</v>
      </c>
      <c r="G2">
        <v>1</v>
      </c>
      <c r="H2">
        <f t="shared" ref="H2:H20" si="1">ABS(G2-$D$2)</f>
        <v>47.347826086956523</v>
      </c>
      <c r="J2">
        <f>AVERAGE(G1:G20)</f>
        <v>10.95</v>
      </c>
    </row>
    <row r="3" spans="1:11" x14ac:dyDescent="0.25">
      <c r="A3">
        <v>5</v>
      </c>
      <c r="B3">
        <f t="shared" si="0"/>
        <v>43.347826086956523</v>
      </c>
      <c r="D3">
        <f>_xlfn.STDEV.S(A1:A46)</f>
        <v>25.656896314683411</v>
      </c>
      <c r="G3">
        <v>2</v>
      </c>
      <c r="H3">
        <f t="shared" si="1"/>
        <v>46.347826086956523</v>
      </c>
      <c r="J3">
        <f>_xlfn.STDEV.S(G1:G20)</f>
        <v>7.0298236857428771</v>
      </c>
    </row>
    <row r="4" spans="1:11" x14ac:dyDescent="0.25">
      <c r="A4">
        <v>8</v>
      </c>
      <c r="B4">
        <f t="shared" si="0"/>
        <v>40.347826086956523</v>
      </c>
      <c r="D4">
        <v>0.05</v>
      </c>
      <c r="G4">
        <v>3</v>
      </c>
      <c r="H4">
        <f t="shared" si="1"/>
        <v>45.347826086956523</v>
      </c>
      <c r="J4">
        <v>0.05</v>
      </c>
    </row>
    <row r="5" spans="1:11" x14ac:dyDescent="0.25">
      <c r="A5">
        <v>10</v>
      </c>
      <c r="B5">
        <f t="shared" si="0"/>
        <v>38.347826086956523</v>
      </c>
      <c r="G5">
        <v>5</v>
      </c>
      <c r="H5">
        <f t="shared" si="1"/>
        <v>43.347826086956523</v>
      </c>
    </row>
    <row r="6" spans="1:11" x14ac:dyDescent="0.25">
      <c r="A6">
        <v>12</v>
      </c>
      <c r="B6">
        <f t="shared" si="0"/>
        <v>36.347826086956523</v>
      </c>
      <c r="D6">
        <f>D4/(2*D1)</f>
        <v>5.4347826086956522E-4</v>
      </c>
      <c r="G6">
        <v>6</v>
      </c>
      <c r="H6">
        <f t="shared" si="1"/>
        <v>42.347826086956523</v>
      </c>
      <c r="J6">
        <f>J4/(2*J1)</f>
        <v>1.25E-3</v>
      </c>
    </row>
    <row r="7" spans="1:11" x14ac:dyDescent="0.25">
      <c r="A7">
        <v>15</v>
      </c>
      <c r="B7">
        <f t="shared" si="0"/>
        <v>33.347826086956523</v>
      </c>
      <c r="D7">
        <f>_xlfn.T.INV(1-D6,E1)</f>
        <v>3.4973638749066818</v>
      </c>
      <c r="G7">
        <v>7</v>
      </c>
      <c r="H7">
        <f t="shared" si="1"/>
        <v>41.347826086956523</v>
      </c>
      <c r="J7">
        <f>_xlfn.T.INV(1-J6,K1)</f>
        <v>3.5101041304634304</v>
      </c>
    </row>
    <row r="8" spans="1:11" x14ac:dyDescent="0.25">
      <c r="A8">
        <v>18</v>
      </c>
      <c r="B8">
        <f t="shared" si="0"/>
        <v>30.347826086956523</v>
      </c>
      <c r="G8">
        <v>8</v>
      </c>
      <c r="H8">
        <f t="shared" si="1"/>
        <v>40.347826086956523</v>
      </c>
    </row>
    <row r="9" spans="1:11" x14ac:dyDescent="0.25">
      <c r="A9">
        <v>20</v>
      </c>
      <c r="B9">
        <f t="shared" si="0"/>
        <v>28.347826086956523</v>
      </c>
      <c r="D9">
        <f>((D1-1)/SQRT(D1))*SQRT((D7^2)/(E1+D7^2))</f>
        <v>3.0944564470233904</v>
      </c>
      <c r="G9">
        <v>9</v>
      </c>
      <c r="H9">
        <f t="shared" si="1"/>
        <v>39.347826086956523</v>
      </c>
      <c r="J9">
        <f>((J1-1)/SQRT(J1))*SQRT((J7^2)/(K1+J7^2))</f>
        <v>2.7082456458057584</v>
      </c>
    </row>
    <row r="10" spans="1:11" x14ac:dyDescent="0.25">
      <c r="A10">
        <v>22</v>
      </c>
      <c r="B10">
        <f t="shared" si="0"/>
        <v>26.347826086956523</v>
      </c>
      <c r="G10">
        <v>10</v>
      </c>
      <c r="H10">
        <f t="shared" si="1"/>
        <v>38.347826086956523</v>
      </c>
    </row>
    <row r="11" spans="1:11" x14ac:dyDescent="0.25">
      <c r="A11">
        <v>25</v>
      </c>
      <c r="B11">
        <f t="shared" si="0"/>
        <v>23.347826086956523</v>
      </c>
      <c r="D11" t="str">
        <f>IF(B49&gt;D9,"YES - OUTLIER","NO - Normal")</f>
        <v>NO - Normal</v>
      </c>
      <c r="G11">
        <v>11</v>
      </c>
      <c r="H11">
        <f t="shared" si="1"/>
        <v>37.347826086956523</v>
      </c>
      <c r="J11" t="str">
        <f>IF(H49&gt;J9,"YES - OUTLIER","NO - Normal")</f>
        <v>YES - OUTLIER</v>
      </c>
    </row>
    <row r="12" spans="1:11" x14ac:dyDescent="0.25">
      <c r="A12">
        <v>28</v>
      </c>
      <c r="B12">
        <f t="shared" si="0"/>
        <v>20.347826086956523</v>
      </c>
      <c r="D12" t="str">
        <f>IF(D11="YES - OUTLIER",INDEX(A1:A46,MATCH(B48,B1:B46,0)),"None")</f>
        <v>None</v>
      </c>
      <c r="G12">
        <v>12</v>
      </c>
      <c r="H12">
        <f t="shared" si="1"/>
        <v>36.347826086956523</v>
      </c>
      <c r="J12">
        <f>IF(J11="YES - OUTLIER",INDEX(G1:G20,MATCH(H48,H1:H20,0)),"None")</f>
        <v>0</v>
      </c>
    </row>
    <row r="13" spans="1:11" x14ac:dyDescent="0.25">
      <c r="A13">
        <v>30</v>
      </c>
      <c r="B13">
        <f t="shared" si="0"/>
        <v>18.347826086956523</v>
      </c>
      <c r="G13">
        <v>14</v>
      </c>
      <c r="H13">
        <f t="shared" si="1"/>
        <v>34.347826086956523</v>
      </c>
    </row>
    <row r="14" spans="1:11" x14ac:dyDescent="0.25">
      <c r="A14">
        <v>32</v>
      </c>
      <c r="B14">
        <f t="shared" si="0"/>
        <v>16.347826086956523</v>
      </c>
      <c r="G14">
        <v>15</v>
      </c>
      <c r="H14">
        <f t="shared" si="1"/>
        <v>33.347826086956523</v>
      </c>
    </row>
    <row r="15" spans="1:11" x14ac:dyDescent="0.25">
      <c r="A15">
        <v>35</v>
      </c>
      <c r="B15">
        <f t="shared" si="0"/>
        <v>13.347826086956523</v>
      </c>
      <c r="G15">
        <v>16</v>
      </c>
      <c r="H15">
        <f t="shared" si="1"/>
        <v>32.347826086956523</v>
      </c>
    </row>
    <row r="16" spans="1:11" x14ac:dyDescent="0.25">
      <c r="A16">
        <v>38</v>
      </c>
      <c r="B16">
        <f t="shared" si="0"/>
        <v>10.347826086956523</v>
      </c>
      <c r="G16">
        <v>17</v>
      </c>
      <c r="H16">
        <f t="shared" si="1"/>
        <v>31.347826086956523</v>
      </c>
    </row>
    <row r="17" spans="1:8" x14ac:dyDescent="0.25">
      <c r="A17">
        <v>40</v>
      </c>
      <c r="B17">
        <f t="shared" si="0"/>
        <v>8.3478260869565233</v>
      </c>
      <c r="G17">
        <v>18</v>
      </c>
      <c r="H17">
        <f t="shared" si="1"/>
        <v>30.347826086956523</v>
      </c>
    </row>
    <row r="18" spans="1:8" x14ac:dyDescent="0.25">
      <c r="A18">
        <v>42</v>
      </c>
      <c r="B18">
        <f t="shared" si="0"/>
        <v>6.3478260869565233</v>
      </c>
      <c r="G18">
        <v>20</v>
      </c>
      <c r="H18">
        <f t="shared" si="1"/>
        <v>28.347826086956523</v>
      </c>
    </row>
    <row r="19" spans="1:8" x14ac:dyDescent="0.25">
      <c r="A19">
        <v>45</v>
      </c>
      <c r="B19">
        <f t="shared" si="0"/>
        <v>3.3478260869565233</v>
      </c>
      <c r="G19">
        <v>22</v>
      </c>
      <c r="H19">
        <f t="shared" si="1"/>
        <v>26.347826086956523</v>
      </c>
    </row>
    <row r="20" spans="1:8" x14ac:dyDescent="0.25">
      <c r="A20">
        <v>48</v>
      </c>
      <c r="B20">
        <f t="shared" si="0"/>
        <v>0.34782608695652328</v>
      </c>
      <c r="G20">
        <v>23</v>
      </c>
      <c r="H20">
        <f t="shared" si="1"/>
        <v>25.347826086956523</v>
      </c>
    </row>
    <row r="21" spans="1:8" x14ac:dyDescent="0.25">
      <c r="A21">
        <v>50</v>
      </c>
      <c r="B21">
        <f t="shared" si="0"/>
        <v>1.6521739130434767</v>
      </c>
    </row>
    <row r="22" spans="1:8" x14ac:dyDescent="0.25">
      <c r="A22">
        <v>51</v>
      </c>
      <c r="B22">
        <f t="shared" si="0"/>
        <v>2.6521739130434767</v>
      </c>
    </row>
    <row r="23" spans="1:8" x14ac:dyDescent="0.25">
      <c r="A23">
        <v>52</v>
      </c>
      <c r="B23">
        <f t="shared" si="0"/>
        <v>3.6521739130434767</v>
      </c>
    </row>
    <row r="24" spans="1:8" x14ac:dyDescent="0.25">
      <c r="A24">
        <v>53</v>
      </c>
      <c r="B24">
        <f t="shared" si="0"/>
        <v>4.6521739130434767</v>
      </c>
    </row>
    <row r="25" spans="1:8" x14ac:dyDescent="0.25">
      <c r="A25">
        <v>54</v>
      </c>
      <c r="B25">
        <f t="shared" si="0"/>
        <v>5.6521739130434767</v>
      </c>
    </row>
    <row r="26" spans="1:8" x14ac:dyDescent="0.25">
      <c r="A26">
        <v>55</v>
      </c>
      <c r="B26">
        <f t="shared" si="0"/>
        <v>6.6521739130434767</v>
      </c>
    </row>
    <row r="27" spans="1:8" x14ac:dyDescent="0.25">
      <c r="A27">
        <v>56</v>
      </c>
      <c r="B27">
        <f t="shared" si="0"/>
        <v>7.6521739130434767</v>
      </c>
    </row>
    <row r="28" spans="1:8" x14ac:dyDescent="0.25">
      <c r="A28">
        <v>57</v>
      </c>
      <c r="B28">
        <f t="shared" si="0"/>
        <v>8.6521739130434767</v>
      </c>
    </row>
    <row r="29" spans="1:8" x14ac:dyDescent="0.25">
      <c r="A29">
        <v>59</v>
      </c>
      <c r="B29">
        <f t="shared" si="0"/>
        <v>10.652173913043477</v>
      </c>
    </row>
    <row r="30" spans="1:8" x14ac:dyDescent="0.25">
      <c r="A30">
        <v>60</v>
      </c>
      <c r="B30">
        <f t="shared" si="0"/>
        <v>11.652173913043477</v>
      </c>
    </row>
    <row r="31" spans="1:8" x14ac:dyDescent="0.25">
      <c r="A31">
        <v>61</v>
      </c>
      <c r="B31">
        <f t="shared" si="0"/>
        <v>12.652173913043477</v>
      </c>
    </row>
    <row r="32" spans="1:8" x14ac:dyDescent="0.25">
      <c r="A32">
        <v>62</v>
      </c>
      <c r="B32">
        <f t="shared" si="0"/>
        <v>13.652173913043477</v>
      </c>
    </row>
    <row r="33" spans="1:8" x14ac:dyDescent="0.25">
      <c r="A33">
        <v>64</v>
      </c>
      <c r="B33">
        <f t="shared" si="0"/>
        <v>15.652173913043477</v>
      </c>
    </row>
    <row r="34" spans="1:8" x14ac:dyDescent="0.25">
      <c r="A34">
        <v>67</v>
      </c>
      <c r="B34">
        <f t="shared" si="0"/>
        <v>18.652173913043477</v>
      </c>
    </row>
    <row r="35" spans="1:8" x14ac:dyDescent="0.25">
      <c r="A35">
        <v>69</v>
      </c>
      <c r="B35">
        <f t="shared" si="0"/>
        <v>20.652173913043477</v>
      </c>
    </row>
    <row r="36" spans="1:8" x14ac:dyDescent="0.25">
      <c r="A36">
        <v>71</v>
      </c>
      <c r="B36">
        <f t="shared" si="0"/>
        <v>22.652173913043477</v>
      </c>
    </row>
    <row r="37" spans="1:8" x14ac:dyDescent="0.25">
      <c r="A37">
        <v>72</v>
      </c>
      <c r="B37">
        <f t="shared" si="0"/>
        <v>23.652173913043477</v>
      </c>
    </row>
    <row r="38" spans="1:8" x14ac:dyDescent="0.25">
      <c r="A38">
        <v>73</v>
      </c>
      <c r="B38">
        <f t="shared" si="0"/>
        <v>24.652173913043477</v>
      </c>
    </row>
    <row r="39" spans="1:8" x14ac:dyDescent="0.25">
      <c r="A39">
        <v>76</v>
      </c>
      <c r="B39">
        <f t="shared" si="0"/>
        <v>27.652173913043477</v>
      </c>
    </row>
    <row r="40" spans="1:8" x14ac:dyDescent="0.25">
      <c r="A40">
        <v>78</v>
      </c>
      <c r="B40">
        <f t="shared" si="0"/>
        <v>29.652173913043477</v>
      </c>
    </row>
    <row r="41" spans="1:8" x14ac:dyDescent="0.25">
      <c r="A41">
        <v>79</v>
      </c>
      <c r="B41">
        <f t="shared" si="0"/>
        <v>30.652173913043477</v>
      </c>
    </row>
    <row r="42" spans="1:8" x14ac:dyDescent="0.25">
      <c r="A42">
        <v>81</v>
      </c>
      <c r="B42">
        <f t="shared" si="0"/>
        <v>32.652173913043477</v>
      </c>
    </row>
    <row r="43" spans="1:8" x14ac:dyDescent="0.25">
      <c r="A43">
        <v>83</v>
      </c>
      <c r="B43">
        <f t="shared" si="0"/>
        <v>34.652173913043477</v>
      </c>
    </row>
    <row r="44" spans="1:8" x14ac:dyDescent="0.25">
      <c r="A44">
        <v>85</v>
      </c>
      <c r="B44">
        <f t="shared" si="0"/>
        <v>36.652173913043477</v>
      </c>
    </row>
    <row r="45" spans="1:8" x14ac:dyDescent="0.25">
      <c r="A45">
        <v>86</v>
      </c>
      <c r="B45">
        <f t="shared" si="0"/>
        <v>37.652173913043477</v>
      </c>
    </row>
    <row r="46" spans="1:8" x14ac:dyDescent="0.25">
      <c r="A46">
        <v>95</v>
      </c>
      <c r="B46">
        <f t="shared" si="0"/>
        <v>46.652173913043477</v>
      </c>
    </row>
    <row r="48" spans="1:8" x14ac:dyDescent="0.25">
      <c r="B48">
        <f>MAX(B1:B46)</f>
        <v>48.347826086956523</v>
      </c>
      <c r="H48">
        <f>MAX(H1:H20)</f>
        <v>48.347826086956523</v>
      </c>
    </row>
    <row r="49" spans="2:8" x14ac:dyDescent="0.25">
      <c r="B49">
        <f>B48/D3</f>
        <v>1.8843988568986467</v>
      </c>
      <c r="H49">
        <f>H48/J3</f>
        <v>6.8775303973854021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6BFA-2707-4060-859B-26311B0AC6A5}">
  <dimension ref="A2:AB158"/>
  <sheetViews>
    <sheetView topLeftCell="M1" workbookViewId="0">
      <selection activeCell="AB3" sqref="AB3:AB158"/>
    </sheetView>
  </sheetViews>
  <sheetFormatPr defaultRowHeight="16.5" x14ac:dyDescent="0.25"/>
  <sheetData>
    <row r="2" spans="1:28" x14ac:dyDescent="0.25">
      <c r="A2">
        <v>2461</v>
      </c>
      <c r="B2">
        <v>2461</v>
      </c>
      <c r="C2">
        <v>1</v>
      </c>
      <c r="D2">
        <v>3</v>
      </c>
      <c r="E2" cm="1">
        <f t="array" ref="E2">LOG(INDEX(C$2:C$47,$D$3-ROW(A1)+1))</f>
        <v>4.0056951811185106</v>
      </c>
      <c r="F2">
        <f>IF(B2&lt;$D$4,0,(B2/$D$4)^$D$6)</f>
        <v>0</v>
      </c>
      <c r="I2">
        <v>330</v>
      </c>
      <c r="J2">
        <v>330</v>
      </c>
      <c r="K2">
        <v>1</v>
      </c>
      <c r="L2">
        <v>3</v>
      </c>
      <c r="M2" cm="1">
        <f t="array" ref="M2">LOG(INDEX(K$2:K$21,$L$3-ROW(I1)+1))</f>
        <v>3.8273692730538253</v>
      </c>
      <c r="N2">
        <f>IF(J2&lt;$L$4,0,(J2/$L$4)^$L$6)</f>
        <v>0</v>
      </c>
      <c r="P2">
        <v>51</v>
      </c>
      <c r="Q2">
        <v>51</v>
      </c>
      <c r="R2">
        <v>1</v>
      </c>
      <c r="S2">
        <v>3</v>
      </c>
      <c r="T2" cm="1">
        <f t="array" ref="T2">LOG(INDEX(R$2:R$63,$S$3-ROW(P1)+1))</f>
        <v>3.0663259253620376</v>
      </c>
      <c r="U2">
        <f>IF(R2&lt;$S$4,0,(R2/$S$4)^$S$6)</f>
        <v>0</v>
      </c>
      <c r="W2">
        <v>8</v>
      </c>
      <c r="X2">
        <v>8</v>
      </c>
      <c r="Y2">
        <v>1</v>
      </c>
      <c r="Z2">
        <v>3</v>
      </c>
      <c r="AA2" cm="1">
        <f t="array" ref="AA2">LOG(INDEX(Y$2:Y$158,$Z$3-ROW(W1)+1))</f>
        <v>2.7442929831226763</v>
      </c>
      <c r="AB2">
        <f>IF(Y2&lt;$Z$4,0,(Y2/$Z$4)^$Z$6)</f>
        <v>0</v>
      </c>
    </row>
    <row r="3" spans="1:28" x14ac:dyDescent="0.25">
      <c r="A3">
        <v>10132</v>
      </c>
      <c r="B3">
        <v>10132</v>
      </c>
      <c r="C3">
        <v>1</v>
      </c>
      <c r="D3">
        <f>COUNT(C2:C47)</f>
        <v>46</v>
      </c>
      <c r="E3" cm="1">
        <f t="array" ref="E3">LOG(INDEX(C$2:C$47,$D$3-ROW(A2)+1))</f>
        <v>3.78830981210705</v>
      </c>
      <c r="F3">
        <f t="shared" ref="F3:F47" si="0">IF(B3&lt;$D$4,0,(B3/$D$4)^$D$6)</f>
        <v>1.4346489989469715</v>
      </c>
      <c r="I3">
        <v>4071</v>
      </c>
      <c r="J3">
        <v>4071</v>
      </c>
      <c r="K3">
        <v>1</v>
      </c>
      <c r="L3">
        <f>COUNT(K2:K21)</f>
        <v>20</v>
      </c>
      <c r="M3" cm="1">
        <f t="array" ref="M3">LOG(INDEX(K$2:K$21,$L$3-ROW(I2)+1))</f>
        <v>3.7886632131208575</v>
      </c>
      <c r="N3">
        <f t="shared" ref="N3:N21" si="1">IF(J3&lt;$L$4,0,(J3/$L$4)^$L$6)</f>
        <v>1</v>
      </c>
      <c r="P3">
        <v>333</v>
      </c>
      <c r="Q3">
        <v>333</v>
      </c>
      <c r="R3">
        <v>1</v>
      </c>
      <c r="S3">
        <f>COUNT(R2:R63)</f>
        <v>62</v>
      </c>
      <c r="T3" cm="1">
        <f t="array" ref="T3">LOG(INDEX(R$2:R$63,$S$3-ROW(P2)+1))</f>
        <v>3.0606978403536118</v>
      </c>
      <c r="U3">
        <f t="shared" ref="U3:U63" si="2">IF(R3&lt;$S$4,0,(R3/$S$4)^$S$6)</f>
        <v>0</v>
      </c>
      <c r="W3">
        <v>25</v>
      </c>
      <c r="X3">
        <v>25</v>
      </c>
      <c r="Y3">
        <v>1</v>
      </c>
      <c r="Z3">
        <f>COUNT(Y2:Y158)</f>
        <v>157</v>
      </c>
      <c r="AA3" cm="1">
        <f t="array" ref="AA3">LOG(INDEX(Y$2:Y$158,$Z$3-ROW(W2)+1))</f>
        <v>2.7427251313046983</v>
      </c>
      <c r="AB3">
        <f t="shared" ref="AB3:AB66" si="3">IF(Y3&lt;$Z$4,0,(Y3/$Z$4)^$Z$6)</f>
        <v>0</v>
      </c>
    </row>
    <row r="4" spans="1:28" x14ac:dyDescent="0.25">
      <c r="A4">
        <v>6142</v>
      </c>
      <c r="B4">
        <v>6142</v>
      </c>
      <c r="C4">
        <v>1</v>
      </c>
      <c r="D4" cm="1">
        <f t="array" ref="D4">INDEX(C2:C47,D3-D2+1)</f>
        <v>2629</v>
      </c>
      <c r="E4" cm="1">
        <f t="array" ref="E4">LOG(INDEX(C$2:C$47,$D$3-ROW(A3)+1))</f>
        <v>3.4197905861063629</v>
      </c>
      <c r="F4">
        <f t="shared" si="0"/>
        <v>1.2548420687741715</v>
      </c>
      <c r="I4">
        <v>6720</v>
      </c>
      <c r="J4">
        <v>6720</v>
      </c>
      <c r="K4">
        <v>1</v>
      </c>
      <c r="L4" cm="1">
        <f t="array" ref="L4">INDEX(K2:K21,L3-L2+1)</f>
        <v>4071</v>
      </c>
      <c r="M4" cm="1">
        <f t="array" ref="M4">LOG(INDEX(K$2:K$21,$L$3-ROW(I3)+1))</f>
        <v>3.6097011023793995</v>
      </c>
      <c r="N4">
        <f t="shared" si="1"/>
        <v>1.1433266317615522</v>
      </c>
      <c r="P4">
        <v>311</v>
      </c>
      <c r="Q4">
        <v>311</v>
      </c>
      <c r="R4">
        <v>1</v>
      </c>
      <c r="S4" cm="1">
        <f t="array" ref="S4">INDEX(R2:R63,S3-S2+1)</f>
        <v>1148</v>
      </c>
      <c r="T4" cm="1">
        <f t="array" ref="T4">LOG(INDEX(R$2:R$63,$S$3-ROW(P3)+1))</f>
        <v>3.0599418880619549</v>
      </c>
      <c r="U4">
        <f t="shared" si="2"/>
        <v>0</v>
      </c>
      <c r="W4">
        <v>40</v>
      </c>
      <c r="X4">
        <v>40</v>
      </c>
      <c r="Y4">
        <v>1</v>
      </c>
      <c r="Z4" cm="1">
        <f t="array" ref="Z4">INDEX(Y2:Y158,Z3-Z2+1)</f>
        <v>492</v>
      </c>
      <c r="AA4" cm="1">
        <f t="array" ref="AA4">LOG(INDEX(Y$2:Y$158,$Z$3-ROW(W3)+1))</f>
        <v>2.6919651027673601</v>
      </c>
      <c r="AB4">
        <f t="shared" si="3"/>
        <v>0</v>
      </c>
    </row>
    <row r="5" spans="1:28" x14ac:dyDescent="0.25">
      <c r="A5">
        <v>2629</v>
      </c>
      <c r="B5">
        <v>2629</v>
      </c>
      <c r="C5">
        <v>1</v>
      </c>
      <c r="D5">
        <f>AVERAGE(E2:E4)</f>
        <v>3.7379318597773081</v>
      </c>
      <c r="E5" cm="1">
        <f t="array" ref="E5">LOG(INDEX(C$2:C$47,$D$3-ROW(A4)+1))</f>
        <v>3.3911116137028023</v>
      </c>
      <c r="F5">
        <f t="shared" si="0"/>
        <v>1</v>
      </c>
      <c r="I5">
        <v>6147</v>
      </c>
      <c r="J5">
        <v>6147</v>
      </c>
      <c r="K5">
        <v>4</v>
      </c>
      <c r="L5">
        <f>AVERAGE(M2:M4)</f>
        <v>3.7419111961846938</v>
      </c>
      <c r="M5" cm="1">
        <f t="array" ref="M5">LOG(INDEX(K$2:K$21,$L$3-ROW(I4)+1))</f>
        <v>3.5952757118020995</v>
      </c>
      <c r="N5">
        <f t="shared" si="1"/>
        <v>1.1164168733996818</v>
      </c>
      <c r="P5">
        <v>442</v>
      </c>
      <c r="Q5">
        <v>442</v>
      </c>
      <c r="R5">
        <v>2</v>
      </c>
      <c r="S5">
        <f>AVERAGE(T2:T4)</f>
        <v>3.0623218845925351</v>
      </c>
      <c r="T5" cm="1">
        <f t="array" ref="T5">LOG(INDEX(R$2:R$63,$S$3-ROW(P4)+1))</f>
        <v>3.0523090996473234</v>
      </c>
      <c r="U5">
        <f t="shared" si="2"/>
        <v>0</v>
      </c>
      <c r="W5">
        <v>69</v>
      </c>
      <c r="X5">
        <v>69</v>
      </c>
      <c r="Y5">
        <v>1</v>
      </c>
      <c r="Z5">
        <f>AVERAGE(AA2:AA4)</f>
        <v>2.7263277390649119</v>
      </c>
      <c r="AA5" cm="1">
        <f t="array" ref="AA5">LOG(INDEX(Y$2:Y$158,$Z$3-ROW(W4)+1))</f>
        <v>2.6560982020128319</v>
      </c>
      <c r="AB5">
        <f t="shared" si="3"/>
        <v>0</v>
      </c>
    </row>
    <row r="6" spans="1:28" x14ac:dyDescent="0.25">
      <c r="A6">
        <v>1107</v>
      </c>
      <c r="B6">
        <v>1107</v>
      </c>
      <c r="C6">
        <v>1</v>
      </c>
      <c r="D6">
        <f>1/D5</f>
        <v>0.26752761620956256</v>
      </c>
      <c r="E6" cm="1">
        <f t="array" ref="E6">LOG(INDEX(C$2:C$47,$D$3-ROW(A5)+1))</f>
        <v>3.0441476208787228</v>
      </c>
      <c r="F6">
        <f t="shared" si="0"/>
        <v>0</v>
      </c>
      <c r="I6">
        <v>3938</v>
      </c>
      <c r="J6">
        <v>3938</v>
      </c>
      <c r="K6">
        <v>4</v>
      </c>
      <c r="L6">
        <f>1/L5</f>
        <v>0.26724311389848437</v>
      </c>
      <c r="M6" cm="1">
        <f t="array" ref="M6">LOG(INDEX(K$2:K$21,$L$3-ROW(I5)+1))</f>
        <v>3.2437819160937948</v>
      </c>
      <c r="N6">
        <f t="shared" si="1"/>
        <v>0</v>
      </c>
      <c r="P6">
        <v>678</v>
      </c>
      <c r="Q6">
        <v>678</v>
      </c>
      <c r="R6">
        <v>2</v>
      </c>
      <c r="S6">
        <f>1/S5</f>
        <v>0.32654960441333797</v>
      </c>
      <c r="T6" cm="1">
        <f t="array" ref="T6">LOG(INDEX(R$2:R$63,$S$3-ROW(P5)+1))</f>
        <v>3.0425755124401905</v>
      </c>
      <c r="U6">
        <f t="shared" si="2"/>
        <v>0</v>
      </c>
      <c r="W6">
        <v>86</v>
      </c>
      <c r="X6">
        <v>86</v>
      </c>
      <c r="Y6">
        <v>1</v>
      </c>
      <c r="Z6">
        <f>1/Z5</f>
        <v>0.3667937591182579</v>
      </c>
      <c r="AA6" cm="1">
        <f t="array" ref="AA6">LOG(INDEX(Y$2:Y$158,$Z$3-ROW(W5)+1))</f>
        <v>2.621176281775035</v>
      </c>
      <c r="AB6">
        <f t="shared" si="3"/>
        <v>0</v>
      </c>
    </row>
    <row r="7" spans="1:28" x14ac:dyDescent="0.25">
      <c r="A7">
        <v>548</v>
      </c>
      <c r="B7">
        <v>548</v>
      </c>
      <c r="C7">
        <v>1</v>
      </c>
      <c r="E7" cm="1">
        <f t="array" ref="E7">LOG(INDEX(C$2:C$47,$D$3-ROW(A6)+1))</f>
        <v>2.7387805584843692</v>
      </c>
      <c r="F7">
        <f t="shared" si="0"/>
        <v>0</v>
      </c>
      <c r="I7">
        <v>1753</v>
      </c>
      <c r="J7">
        <v>1753</v>
      </c>
      <c r="K7">
        <v>5</v>
      </c>
      <c r="M7" cm="1">
        <f t="array" ref="M7">LOG(INDEX(K$2:K$21,$L$3-ROW(I6)+1))</f>
        <v>2.79309160017658</v>
      </c>
      <c r="N7">
        <f t="shared" si="1"/>
        <v>0</v>
      </c>
      <c r="P7">
        <v>845</v>
      </c>
      <c r="Q7">
        <v>845</v>
      </c>
      <c r="R7">
        <v>3</v>
      </c>
      <c r="T7" cm="1">
        <f t="array" ref="T7">LOG(INDEX(R$2:R$63,$S$3-ROW(P6)+1))</f>
        <v>3.0342272607705505</v>
      </c>
      <c r="U7">
        <f t="shared" si="2"/>
        <v>0</v>
      </c>
      <c r="W7">
        <v>90</v>
      </c>
      <c r="X7">
        <v>90</v>
      </c>
      <c r="Y7">
        <v>1</v>
      </c>
      <c r="AA7" cm="1">
        <f t="array" ref="AA7">LOG(INDEX(Y$2:Y$158,$Z$3-ROW(W6)+1))</f>
        <v>2.6138418218760693</v>
      </c>
      <c r="AB7">
        <f t="shared" si="3"/>
        <v>0</v>
      </c>
    </row>
    <row r="8" spans="1:28" x14ac:dyDescent="0.25">
      <c r="A8">
        <v>287</v>
      </c>
      <c r="B8">
        <v>287</v>
      </c>
      <c r="C8">
        <v>1</v>
      </c>
      <c r="E8" cm="1">
        <f t="array" ref="E8">LOG(INDEX(C$2:C$47,$D$3-ROW(A7)+1))</f>
        <v>2.4578818967339924</v>
      </c>
      <c r="F8">
        <f t="shared" si="0"/>
        <v>0</v>
      </c>
      <c r="I8">
        <v>621</v>
      </c>
      <c r="J8">
        <v>621</v>
      </c>
      <c r="K8">
        <v>10</v>
      </c>
      <c r="M8" cm="1">
        <f t="array" ref="M8">LOG(INDEX(K$2:K$21,$L$3-ROW(I7)+1))</f>
        <v>2.5185139398778875</v>
      </c>
      <c r="N8">
        <f t="shared" si="1"/>
        <v>0</v>
      </c>
      <c r="P8">
        <v>912</v>
      </c>
      <c r="Q8">
        <v>912</v>
      </c>
      <c r="R8">
        <v>3</v>
      </c>
      <c r="T8" cm="1">
        <f t="array" ref="T8">LOG(INDEX(R$2:R$63,$S$3-ROW(P7)+1))</f>
        <v>3.0232524596337114</v>
      </c>
      <c r="U8">
        <f t="shared" si="2"/>
        <v>0</v>
      </c>
      <c r="W8">
        <v>180</v>
      </c>
      <c r="X8">
        <v>180</v>
      </c>
      <c r="Y8">
        <v>1</v>
      </c>
      <c r="AA8" cm="1">
        <f t="array" ref="AA8">LOG(INDEX(Y$2:Y$158,$Z$3-ROW(W7)+1))</f>
        <v>2.6031443726201822</v>
      </c>
      <c r="AB8">
        <f t="shared" si="3"/>
        <v>0</v>
      </c>
    </row>
    <row r="9" spans="1:28" x14ac:dyDescent="0.25">
      <c r="A9">
        <v>192</v>
      </c>
      <c r="B9">
        <v>192</v>
      </c>
      <c r="C9">
        <v>1</v>
      </c>
      <c r="E9" cm="1">
        <f t="array" ref="E9">LOG(INDEX(C$2:C$47,$D$3-ROW(A8)+1))</f>
        <v>2.2833012287035497</v>
      </c>
      <c r="F9">
        <f t="shared" si="0"/>
        <v>0</v>
      </c>
      <c r="I9">
        <v>203</v>
      </c>
      <c r="J9">
        <v>203</v>
      </c>
      <c r="K9">
        <v>13</v>
      </c>
      <c r="M9" cm="1">
        <f t="array" ref="M9">LOG(INDEX(K$2:K$21,$L$3-ROW(I8)+1))</f>
        <v>2.307496037913213</v>
      </c>
      <c r="N9">
        <f t="shared" si="1"/>
        <v>0</v>
      </c>
      <c r="P9">
        <v>1103</v>
      </c>
      <c r="Q9">
        <v>1103</v>
      </c>
      <c r="R9">
        <v>4</v>
      </c>
      <c r="T9" cm="1">
        <f t="array" ref="T9">LOG(INDEX(R$2:R$63,$S$3-ROW(P8)+1))</f>
        <v>3.0068937079479006</v>
      </c>
      <c r="U9">
        <f t="shared" si="2"/>
        <v>0</v>
      </c>
      <c r="W9">
        <v>140</v>
      </c>
      <c r="X9">
        <v>140</v>
      </c>
      <c r="Y9">
        <v>2</v>
      </c>
      <c r="AA9" cm="1">
        <f t="array" ref="AA9">LOG(INDEX(Y$2:Y$158,$Z$3-ROW(W8)+1))</f>
        <v>2.6020599913279625</v>
      </c>
      <c r="AB9">
        <f t="shared" si="3"/>
        <v>0</v>
      </c>
    </row>
    <row r="10" spans="1:28" x14ac:dyDescent="0.25">
      <c r="A10">
        <v>125</v>
      </c>
      <c r="B10">
        <v>125</v>
      </c>
      <c r="C10">
        <v>1</v>
      </c>
      <c r="E10" cm="1">
        <f t="array" ref="E10">LOG(INDEX(C$2:C$47,$D$3-ROW(A9)+1))</f>
        <v>2.0969100130080562</v>
      </c>
      <c r="F10">
        <f t="shared" si="0"/>
        <v>0</v>
      </c>
      <c r="I10">
        <v>112</v>
      </c>
      <c r="J10">
        <v>112</v>
      </c>
      <c r="K10">
        <v>15</v>
      </c>
      <c r="M10" cm="1">
        <f t="array" ref="M10">LOG(INDEX(K$2:K$21,$L$3-ROW(I9)+1))</f>
        <v>2.0492180226701815</v>
      </c>
      <c r="N10">
        <f t="shared" si="1"/>
        <v>0</v>
      </c>
      <c r="P10">
        <v>1016</v>
      </c>
      <c r="Q10">
        <v>1016</v>
      </c>
      <c r="R10">
        <v>4</v>
      </c>
      <c r="T10" cm="1">
        <f t="array" ref="T10">LOG(INDEX(R$2:R$63,$S$3-ROW(P9)+1))</f>
        <v>2.999130541287371</v>
      </c>
      <c r="U10">
        <f t="shared" si="2"/>
        <v>0</v>
      </c>
      <c r="W10">
        <v>179</v>
      </c>
      <c r="X10">
        <v>179</v>
      </c>
      <c r="Y10">
        <v>2</v>
      </c>
      <c r="AA10" cm="1">
        <f t="array" ref="AA10">LOG(INDEX(Y$2:Y$158,$Z$3-ROW(W9)+1))</f>
        <v>2.6020599913279625</v>
      </c>
      <c r="AB10">
        <f t="shared" si="3"/>
        <v>0</v>
      </c>
    </row>
    <row r="11" spans="1:28" x14ac:dyDescent="0.25">
      <c r="A11">
        <v>76</v>
      </c>
      <c r="B11">
        <v>76</v>
      </c>
      <c r="C11">
        <v>1</v>
      </c>
      <c r="E11" cm="1">
        <f t="array" ref="E11">LOG(INDEX(C$2:C$47,$D$3-ROW(A10)+1))</f>
        <v>1.8808135922807914</v>
      </c>
      <c r="F11">
        <f t="shared" si="0"/>
        <v>0</v>
      </c>
      <c r="I11">
        <v>42</v>
      </c>
      <c r="J11">
        <v>42</v>
      </c>
      <c r="K11">
        <v>16</v>
      </c>
      <c r="M11" cm="1">
        <f t="array" ref="M11">LOG(INDEX(K$2:K$21,$L$3-ROW(I10)+1))</f>
        <v>1.6232492903979006</v>
      </c>
      <c r="N11">
        <f t="shared" si="1"/>
        <v>0</v>
      </c>
      <c r="P11">
        <v>1148</v>
      </c>
      <c r="Q11">
        <v>1148</v>
      </c>
      <c r="R11">
        <v>5</v>
      </c>
      <c r="T11" cm="1">
        <f t="array" ref="T11">LOG(INDEX(R$2:R$63,$S$3-ROW(P10)+1))</f>
        <v>2.973589623427257</v>
      </c>
      <c r="U11">
        <f t="shared" si="2"/>
        <v>0</v>
      </c>
      <c r="W11">
        <v>203</v>
      </c>
      <c r="X11">
        <v>203</v>
      </c>
      <c r="Y11">
        <v>2</v>
      </c>
      <c r="AA11" cm="1">
        <f t="array" ref="AA11">LOG(INDEX(Y$2:Y$158,$Z$3-ROW(W10)+1))</f>
        <v>2.6020599913279625</v>
      </c>
      <c r="AB11">
        <f t="shared" si="3"/>
        <v>0</v>
      </c>
    </row>
    <row r="12" spans="1:28" x14ac:dyDescent="0.25">
      <c r="A12">
        <v>63</v>
      </c>
      <c r="B12">
        <v>63</v>
      </c>
      <c r="C12">
        <v>1</v>
      </c>
      <c r="E12" cm="1">
        <f t="array" ref="E12">LOG(INDEX(C$2:C$47,$D$3-ROW(A11)+1))</f>
        <v>1.7993405494535817</v>
      </c>
      <c r="F12">
        <f t="shared" si="0"/>
        <v>0</v>
      </c>
      <c r="I12">
        <v>15</v>
      </c>
      <c r="J12">
        <v>15</v>
      </c>
      <c r="K12">
        <v>42</v>
      </c>
      <c r="M12" cm="1">
        <f t="array" ref="M12">LOG(INDEX(K$2:K$21,$L$3-ROW(I11)+1))</f>
        <v>1.2041199826559248</v>
      </c>
      <c r="N12">
        <f t="shared" si="1"/>
        <v>0</v>
      </c>
      <c r="P12">
        <v>1165</v>
      </c>
      <c r="Q12">
        <v>1165</v>
      </c>
      <c r="R12">
        <v>7</v>
      </c>
      <c r="T12" cm="1">
        <f t="array" ref="T12">LOG(INDEX(R$2:R$63,$S$3-ROW(P11)+1))</f>
        <v>2.959994838328416</v>
      </c>
      <c r="U12">
        <f t="shared" si="2"/>
        <v>0</v>
      </c>
      <c r="W12">
        <v>241</v>
      </c>
      <c r="X12">
        <v>241</v>
      </c>
      <c r="Y12">
        <v>2</v>
      </c>
      <c r="AA12" cm="1">
        <f t="array" ref="AA12">LOG(INDEX(Y$2:Y$158,$Z$3-ROW(W11)+1))</f>
        <v>2.5976951859255122</v>
      </c>
      <c r="AB12">
        <f t="shared" si="3"/>
        <v>0</v>
      </c>
    </row>
    <row r="13" spans="1:28" x14ac:dyDescent="0.25">
      <c r="A13">
        <v>46</v>
      </c>
      <c r="B13">
        <v>46</v>
      </c>
      <c r="C13">
        <v>1</v>
      </c>
      <c r="E13" cm="1">
        <f t="array" ref="E13">LOG(INDEX(C$2:C$47,$D$3-ROW(A12)+1))</f>
        <v>1.6627578316815741</v>
      </c>
      <c r="F13">
        <f t="shared" si="0"/>
        <v>0</v>
      </c>
      <c r="I13">
        <v>13</v>
      </c>
      <c r="J13">
        <v>13</v>
      </c>
      <c r="K13">
        <v>112</v>
      </c>
      <c r="M13" cm="1">
        <f t="array" ref="M13">LOG(INDEX(K$2:K$21,$L$3-ROW(I12)+1))</f>
        <v>1.1760912590556813</v>
      </c>
      <c r="N13">
        <f t="shared" si="1"/>
        <v>0</v>
      </c>
      <c r="P13">
        <v>1150</v>
      </c>
      <c r="Q13">
        <v>1150</v>
      </c>
      <c r="R13">
        <v>10</v>
      </c>
      <c r="T13" cm="1">
        <f t="array" ref="T13">LOG(INDEX(R$2:R$63,$S$3-ROW(P12)+1))</f>
        <v>2.9590413923210934</v>
      </c>
      <c r="U13">
        <f t="shared" si="2"/>
        <v>0</v>
      </c>
      <c r="W13">
        <v>260</v>
      </c>
      <c r="X13">
        <v>260</v>
      </c>
      <c r="Y13">
        <v>2</v>
      </c>
      <c r="AA13" cm="1">
        <f t="array" ref="AA13">LOG(INDEX(Y$2:Y$158,$Z$3-ROW(W12)+1))</f>
        <v>2.5943925503754266</v>
      </c>
      <c r="AB13">
        <f t="shared" si="3"/>
        <v>0</v>
      </c>
    </row>
    <row r="14" spans="1:28" x14ac:dyDescent="0.25">
      <c r="A14">
        <v>37</v>
      </c>
      <c r="B14">
        <v>37</v>
      </c>
      <c r="C14">
        <v>2</v>
      </c>
      <c r="E14" cm="1">
        <f t="array" ref="E14">LOG(INDEX(C$2:C$47,$D$3-ROW(A13)+1))</f>
        <v>1.568201724066995</v>
      </c>
      <c r="F14">
        <f t="shared" si="0"/>
        <v>0</v>
      </c>
      <c r="I14">
        <v>16</v>
      </c>
      <c r="J14">
        <v>16</v>
      </c>
      <c r="K14">
        <v>203</v>
      </c>
      <c r="M14" cm="1">
        <f t="array" ref="M14">LOG(INDEX(K$2:K$21,$L$3-ROW(I13)+1))</f>
        <v>1.1139433523068367</v>
      </c>
      <c r="N14">
        <f t="shared" si="1"/>
        <v>0</v>
      </c>
      <c r="P14">
        <v>1128</v>
      </c>
      <c r="Q14">
        <v>1128</v>
      </c>
      <c r="R14">
        <v>11</v>
      </c>
      <c r="T14" cm="1">
        <f t="array" ref="T14">LOG(INDEX(R$2:R$63,$S$3-ROW(P13)+1))</f>
        <v>2.9268567089496922</v>
      </c>
      <c r="U14">
        <f t="shared" si="2"/>
        <v>0</v>
      </c>
      <c r="W14">
        <v>272</v>
      </c>
      <c r="X14">
        <v>272</v>
      </c>
      <c r="Y14">
        <v>2</v>
      </c>
      <c r="AA14" cm="1">
        <f t="array" ref="AA14">LOG(INDEX(Y$2:Y$158,$Z$3-ROW(W13)+1))</f>
        <v>2.5932860670204572</v>
      </c>
      <c r="AB14">
        <f t="shared" si="3"/>
        <v>0</v>
      </c>
    </row>
    <row r="15" spans="1:28" x14ac:dyDescent="0.25">
      <c r="A15">
        <v>29</v>
      </c>
      <c r="B15">
        <v>29</v>
      </c>
      <c r="C15">
        <v>2</v>
      </c>
      <c r="E15" cm="1">
        <f t="array" ref="E15">LOG(INDEX(C$2:C$47,$D$3-ROW(A14)+1))</f>
        <v>1.4623979978989561</v>
      </c>
      <c r="F15">
        <f t="shared" si="0"/>
        <v>0</v>
      </c>
      <c r="I15">
        <v>10</v>
      </c>
      <c r="J15">
        <v>10</v>
      </c>
      <c r="K15">
        <v>330</v>
      </c>
      <c r="M15" cm="1">
        <f t="array" ref="M15">LOG(INDEX(K$2:K$21,$L$3-ROW(I14)+1))</f>
        <v>1</v>
      </c>
      <c r="N15">
        <f t="shared" si="1"/>
        <v>0</v>
      </c>
      <c r="P15">
        <v>1082</v>
      </c>
      <c r="Q15">
        <v>1082</v>
      </c>
      <c r="R15">
        <v>13</v>
      </c>
      <c r="T15" cm="1">
        <f t="array" ref="T15">LOG(INDEX(R$2:R$63,$S$3-ROW(P14)+1))</f>
        <v>2.9068735347220702</v>
      </c>
      <c r="U15">
        <f t="shared" si="2"/>
        <v>0</v>
      </c>
      <c r="W15">
        <v>254</v>
      </c>
      <c r="X15">
        <v>254</v>
      </c>
      <c r="Y15">
        <v>2</v>
      </c>
      <c r="AA15" cm="1">
        <f t="array" ref="AA15">LOG(INDEX(Y$2:Y$158,$Z$3-ROW(W14)+1))</f>
        <v>2.5865873046717551</v>
      </c>
      <c r="AB15">
        <f t="shared" si="3"/>
        <v>0</v>
      </c>
    </row>
    <row r="16" spans="1:28" x14ac:dyDescent="0.25">
      <c r="A16">
        <v>19</v>
      </c>
      <c r="B16">
        <v>19</v>
      </c>
      <c r="C16">
        <v>2</v>
      </c>
      <c r="E16" cm="1">
        <f t="array" ref="E16">LOG(INDEX(C$2:C$47,$D$3-ROW(A15)+1))</f>
        <v>1.2787536009528289</v>
      </c>
      <c r="F16">
        <f t="shared" si="0"/>
        <v>0</v>
      </c>
      <c r="I16">
        <v>5</v>
      </c>
      <c r="J16">
        <v>5</v>
      </c>
      <c r="K16">
        <v>621</v>
      </c>
      <c r="M16" cm="1">
        <f t="array" ref="M16">LOG(INDEX(K$2:K$21,$L$3-ROW(I15)+1))</f>
        <v>0.69897000433601886</v>
      </c>
      <c r="N16">
        <f t="shared" si="1"/>
        <v>0</v>
      </c>
      <c r="P16">
        <v>1055</v>
      </c>
      <c r="Q16">
        <v>1055</v>
      </c>
      <c r="R16">
        <v>15</v>
      </c>
      <c r="T16" cm="1">
        <f t="array" ref="T16">LOG(INDEX(R$2:R$63,$S$3-ROW(P15)+1))</f>
        <v>2.9020028913507296</v>
      </c>
      <c r="U16">
        <f t="shared" si="2"/>
        <v>0</v>
      </c>
      <c r="W16">
        <v>302</v>
      </c>
      <c r="X16">
        <v>302</v>
      </c>
      <c r="Y16">
        <v>2</v>
      </c>
      <c r="AA16" cm="1">
        <f t="array" ref="AA16">LOG(INDEX(Y$2:Y$158,$Z$3-ROW(W15)+1))</f>
        <v>2.5820633629117089</v>
      </c>
      <c r="AB16">
        <f t="shared" si="3"/>
        <v>0</v>
      </c>
    </row>
    <row r="17" spans="1:28" x14ac:dyDescent="0.25">
      <c r="A17">
        <v>17</v>
      </c>
      <c r="B17">
        <v>17</v>
      </c>
      <c r="C17">
        <v>2</v>
      </c>
      <c r="E17" cm="1">
        <f t="array" ref="E17">LOG(INDEX(C$2:C$47,$D$3-ROW(A16)+1))</f>
        <v>1.2787536009528289</v>
      </c>
      <c r="F17">
        <f t="shared" si="0"/>
        <v>0</v>
      </c>
      <c r="I17">
        <v>4</v>
      </c>
      <c r="J17">
        <v>4</v>
      </c>
      <c r="K17">
        <v>1753</v>
      </c>
      <c r="M17" cm="1">
        <f t="array" ref="M17">LOG(INDEX(K$2:K$21,$L$3-ROW(I16)+1))</f>
        <v>0.6020599913279624</v>
      </c>
      <c r="N17">
        <f t="shared" si="1"/>
        <v>0</v>
      </c>
      <c r="P17">
        <v>998</v>
      </c>
      <c r="Q17">
        <v>998</v>
      </c>
      <c r="R17">
        <v>19</v>
      </c>
      <c r="T17" cm="1">
        <f t="array" ref="T17">LOG(INDEX(R$2:R$63,$S$3-ROW(P16)+1))</f>
        <v>2.8543060418010806</v>
      </c>
      <c r="U17">
        <f t="shared" si="2"/>
        <v>0</v>
      </c>
      <c r="W17">
        <v>381</v>
      </c>
      <c r="X17">
        <v>381</v>
      </c>
      <c r="Y17">
        <v>2</v>
      </c>
      <c r="AA17" cm="1">
        <f t="array" ref="AA17">LOG(INDEX(Y$2:Y$158,$Z$3-ROW(W16)+1))</f>
        <v>2.5820633629117089</v>
      </c>
      <c r="AB17">
        <f t="shared" si="3"/>
        <v>0</v>
      </c>
    </row>
    <row r="18" spans="1:28" x14ac:dyDescent="0.25">
      <c r="A18">
        <v>19</v>
      </c>
      <c r="B18">
        <v>19</v>
      </c>
      <c r="C18">
        <v>2</v>
      </c>
      <c r="E18" cm="1">
        <f t="array" ref="E18">LOG(INDEX(C$2:C$47,$D$3-ROW(A17)+1))</f>
        <v>1.2304489213782739</v>
      </c>
      <c r="F18">
        <f t="shared" si="0"/>
        <v>0</v>
      </c>
      <c r="I18">
        <v>4</v>
      </c>
      <c r="J18">
        <v>4</v>
      </c>
      <c r="K18">
        <v>3938</v>
      </c>
      <c r="M18" cm="1">
        <f t="array" ref="M18">LOG(INDEX(K$2:K$21,$L$3-ROW(I17)+1))</f>
        <v>0.6020599913279624</v>
      </c>
      <c r="N18">
        <f t="shared" si="1"/>
        <v>0</v>
      </c>
      <c r="P18">
        <v>941</v>
      </c>
      <c r="Q18">
        <v>941</v>
      </c>
      <c r="R18">
        <v>34</v>
      </c>
      <c r="T18" cm="1">
        <f t="array" ref="T18">LOG(INDEX(R$2:R$63,$S$3-ROW(P17)+1))</f>
        <v>2.8312296938670634</v>
      </c>
      <c r="U18">
        <f t="shared" si="2"/>
        <v>0</v>
      </c>
      <c r="W18">
        <v>368</v>
      </c>
      <c r="X18">
        <v>368</v>
      </c>
      <c r="Y18">
        <v>3</v>
      </c>
      <c r="AA18" cm="1">
        <f t="array" ref="AA18">LOG(INDEX(Y$2:Y$158,$Z$3-ROW(W17)+1))</f>
        <v>2.5809249756756194</v>
      </c>
      <c r="AB18">
        <f t="shared" si="3"/>
        <v>0</v>
      </c>
    </row>
    <row r="19" spans="1:28" x14ac:dyDescent="0.25">
      <c r="A19">
        <v>8</v>
      </c>
      <c r="B19">
        <v>8</v>
      </c>
      <c r="C19">
        <v>2</v>
      </c>
      <c r="E19" cm="1">
        <f t="array" ref="E19">LOG(INDEX(C$2:C$47,$D$3-ROW(A18)+1))</f>
        <v>0.90308998699194354</v>
      </c>
      <c r="F19">
        <f t="shared" si="0"/>
        <v>0</v>
      </c>
      <c r="I19">
        <v>1</v>
      </c>
      <c r="J19">
        <v>1</v>
      </c>
      <c r="K19">
        <v>4071</v>
      </c>
      <c r="M19" cm="1">
        <f t="array" ref="M19">LOG(INDEX(K$2:K$21,$L$3-ROW(I18)+1))</f>
        <v>0</v>
      </c>
      <c r="N19">
        <f t="shared" si="1"/>
        <v>0</v>
      </c>
      <c r="P19">
        <v>910</v>
      </c>
      <c r="Q19">
        <v>910</v>
      </c>
      <c r="R19">
        <v>37</v>
      </c>
      <c r="T19" cm="1">
        <f t="array" ref="T19">LOG(INDEX(R$2:R$63,$S$3-ROW(P18)+1))</f>
        <v>2.8095597146352675</v>
      </c>
      <c r="U19">
        <f t="shared" si="2"/>
        <v>0</v>
      </c>
      <c r="W19">
        <v>373</v>
      </c>
      <c r="X19">
        <v>373</v>
      </c>
      <c r="Y19">
        <v>3</v>
      </c>
      <c r="AA19" cm="1">
        <f t="array" ref="AA19">LOG(INDEX(Y$2:Y$158,$Z$3-ROW(W18)+1))</f>
        <v>2.5717088318086878</v>
      </c>
      <c r="AB19">
        <f t="shared" si="3"/>
        <v>0</v>
      </c>
    </row>
    <row r="20" spans="1:28" x14ac:dyDescent="0.25">
      <c r="A20">
        <v>7</v>
      </c>
      <c r="B20">
        <v>7</v>
      </c>
      <c r="C20">
        <v>2</v>
      </c>
      <c r="E20" cm="1">
        <f t="array" ref="E20">LOG(INDEX(C$2:C$47,$D$3-ROW(A19)+1))</f>
        <v>0.90308998699194354</v>
      </c>
      <c r="F20">
        <f t="shared" si="0"/>
        <v>0</v>
      </c>
      <c r="I20">
        <v>1</v>
      </c>
      <c r="J20">
        <v>1</v>
      </c>
      <c r="K20">
        <v>6147</v>
      </c>
      <c r="M20" cm="1">
        <f t="array" ref="M20">LOG(INDEX(K$2:K$21,$L$3-ROW(I19)+1))</f>
        <v>0</v>
      </c>
      <c r="N20">
        <f t="shared" si="1"/>
        <v>0</v>
      </c>
      <c r="P20">
        <v>798</v>
      </c>
      <c r="Q20">
        <v>798</v>
      </c>
      <c r="R20">
        <v>46</v>
      </c>
      <c r="T20" cm="1">
        <f t="array" ref="T20">LOG(INDEX(R$2:R$63,$S$3-ROW(P19)+1))</f>
        <v>2.7686381012476144</v>
      </c>
      <c r="U20">
        <f t="shared" si="2"/>
        <v>0</v>
      </c>
      <c r="W20">
        <v>382</v>
      </c>
      <c r="X20">
        <v>382</v>
      </c>
      <c r="Y20">
        <v>3</v>
      </c>
      <c r="AA20" cm="1">
        <f t="array" ref="AA20">LOG(INDEX(Y$2:Y$158,$Z$3-ROW(W19)+1))</f>
        <v>2.5670263661590602</v>
      </c>
      <c r="AB20">
        <f t="shared" si="3"/>
        <v>0</v>
      </c>
    </row>
    <row r="21" spans="1:28" x14ac:dyDescent="0.25">
      <c r="A21">
        <v>5</v>
      </c>
      <c r="B21">
        <v>5</v>
      </c>
      <c r="C21">
        <v>2</v>
      </c>
      <c r="E21" cm="1">
        <f t="array" ref="E21">LOG(INDEX(C$2:C$47,$D$3-ROW(A20)+1))</f>
        <v>0.84509804001425681</v>
      </c>
      <c r="F21">
        <f t="shared" si="0"/>
        <v>0</v>
      </c>
      <c r="I21">
        <v>1</v>
      </c>
      <c r="J21">
        <v>1</v>
      </c>
      <c r="K21">
        <v>6720</v>
      </c>
      <c r="M21" cm="1">
        <f t="array" ref="M21">LOG(INDEX(K$2:K$21,$L$3-ROW(I20)+1))</f>
        <v>0</v>
      </c>
      <c r="N21">
        <f t="shared" si="1"/>
        <v>0</v>
      </c>
      <c r="P21">
        <v>807</v>
      </c>
      <c r="Q21">
        <v>807</v>
      </c>
      <c r="R21">
        <v>51</v>
      </c>
      <c r="T21" cm="1">
        <f t="array" ref="T21">LOG(INDEX(R$2:R$63,$S$3-ROW(P20)+1))</f>
        <v>2.7339992865383871</v>
      </c>
      <c r="U21">
        <f t="shared" si="2"/>
        <v>0</v>
      </c>
      <c r="W21">
        <v>553</v>
      </c>
      <c r="X21">
        <v>553</v>
      </c>
      <c r="Y21">
        <v>3</v>
      </c>
      <c r="AA21" cm="1">
        <f t="array" ref="AA21">LOG(INDEX(Y$2:Y$158,$Z$3-ROW(W20)+1))</f>
        <v>2.5670263661590602</v>
      </c>
      <c r="AB21">
        <f t="shared" si="3"/>
        <v>0</v>
      </c>
    </row>
    <row r="22" spans="1:28" x14ac:dyDescent="0.25">
      <c r="A22">
        <v>6</v>
      </c>
      <c r="B22">
        <v>6</v>
      </c>
      <c r="C22">
        <v>2</v>
      </c>
      <c r="E22" cm="1">
        <f t="array" ref="E22">LOG(INDEX(C$2:C$47,$D$3-ROW(A21)+1))</f>
        <v>0.77815125038364363</v>
      </c>
      <c r="F22">
        <f t="shared" si="0"/>
        <v>0</v>
      </c>
      <c r="P22">
        <v>715</v>
      </c>
      <c r="Q22">
        <v>715</v>
      </c>
      <c r="R22">
        <v>52</v>
      </c>
      <c r="T22" cm="1">
        <f t="array" ref="T22">LOG(INDEX(R$2:R$63,$S$3-ROW(P21)+1))</f>
        <v>2.6821450763738319</v>
      </c>
      <c r="U22">
        <f t="shared" si="2"/>
        <v>0</v>
      </c>
      <c r="W22">
        <v>369</v>
      </c>
      <c r="X22">
        <v>369</v>
      </c>
      <c r="Y22">
        <v>4</v>
      </c>
      <c r="AA22" cm="1">
        <f t="array" ref="AA22">LOG(INDEX(Y$2:Y$158,$Z$3-ROW(W21)+1))</f>
        <v>2.5658478186735176</v>
      </c>
      <c r="AB22">
        <f t="shared" si="3"/>
        <v>0</v>
      </c>
    </row>
    <row r="23" spans="1:28" x14ac:dyDescent="0.25">
      <c r="A23">
        <v>2</v>
      </c>
      <c r="B23">
        <v>2</v>
      </c>
      <c r="C23">
        <v>4</v>
      </c>
      <c r="E23" cm="1">
        <f t="array" ref="E23">LOG(INDEX(C$2:C$47,$D$3-ROW(A22)+1))</f>
        <v>0.77815125038364363</v>
      </c>
      <c r="F23">
        <f t="shared" si="0"/>
        <v>0</v>
      </c>
      <c r="P23">
        <v>587</v>
      </c>
      <c r="Q23">
        <v>587</v>
      </c>
      <c r="R23">
        <v>54</v>
      </c>
      <c r="T23" cm="1">
        <f t="array" ref="T23">LOG(INDEX(R$2:R$63,$S$3-ROW(P22)+1))</f>
        <v>2.6702458530741242</v>
      </c>
      <c r="U23">
        <f t="shared" si="2"/>
        <v>0</v>
      </c>
      <c r="W23">
        <v>401</v>
      </c>
      <c r="X23">
        <v>401</v>
      </c>
      <c r="Y23">
        <v>4</v>
      </c>
      <c r="AA23" cm="1">
        <f t="array" ref="AA23">LOG(INDEX(Y$2:Y$158,$Z$3-ROW(W22)+1))</f>
        <v>2.5550944485783194</v>
      </c>
      <c r="AB23">
        <f t="shared" si="3"/>
        <v>0</v>
      </c>
    </row>
    <row r="24" spans="1:28" x14ac:dyDescent="0.25">
      <c r="A24">
        <v>8</v>
      </c>
      <c r="B24">
        <v>8</v>
      </c>
      <c r="C24">
        <v>4</v>
      </c>
      <c r="E24" cm="1">
        <f t="array" ref="E24">LOG(INDEX(C$2:C$47,$D$3-ROW(A23)+1))</f>
        <v>0.69897000433601886</v>
      </c>
      <c r="F24">
        <f t="shared" si="0"/>
        <v>0</v>
      </c>
      <c r="P24">
        <v>645</v>
      </c>
      <c r="Q24">
        <v>645</v>
      </c>
      <c r="R24">
        <v>57</v>
      </c>
      <c r="T24" cm="1">
        <f t="array" ref="T24">LOG(INDEX(R$2:R$63,$S$3-ROW(P23)+1))</f>
        <v>2.6454222693490919</v>
      </c>
      <c r="U24">
        <f t="shared" si="2"/>
        <v>0</v>
      </c>
      <c r="W24">
        <v>382</v>
      </c>
      <c r="X24">
        <v>382</v>
      </c>
      <c r="Y24">
        <v>4</v>
      </c>
      <c r="AA24" cm="1">
        <f t="array" ref="AA24">LOG(INDEX(Y$2:Y$158,$Z$3-ROW(W23)+1))</f>
        <v>2.5514499979728753</v>
      </c>
      <c r="AB24">
        <f t="shared" si="3"/>
        <v>0</v>
      </c>
    </row>
    <row r="25" spans="1:28" x14ac:dyDescent="0.25">
      <c r="A25">
        <v>6</v>
      </c>
      <c r="B25">
        <v>6</v>
      </c>
      <c r="C25">
        <v>5</v>
      </c>
      <c r="E25" cm="1">
        <f t="array" ref="E25">LOG(INDEX(C$2:C$47,$D$3-ROW(A24)+1))</f>
        <v>0.6020599913279624</v>
      </c>
      <c r="F25">
        <f t="shared" si="0"/>
        <v>0</v>
      </c>
      <c r="P25">
        <v>542</v>
      </c>
      <c r="Q25">
        <v>542</v>
      </c>
      <c r="R25">
        <v>67</v>
      </c>
      <c r="T25" cm="1">
        <f t="array" ref="T25">LOG(INDEX(R$2:R$63,$S$3-ROW(P24)+1))</f>
        <v>2.6063813651106051</v>
      </c>
      <c r="U25">
        <f t="shared" si="2"/>
        <v>0</v>
      </c>
      <c r="W25">
        <v>453</v>
      </c>
      <c r="X25">
        <v>453</v>
      </c>
      <c r="Y25">
        <v>4</v>
      </c>
      <c r="AA25" cm="1">
        <f t="array" ref="AA25">LOG(INDEX(Y$2:Y$158,$Z$3-ROW(W24)+1))</f>
        <v>2.5428254269591797</v>
      </c>
      <c r="AB25">
        <f t="shared" si="3"/>
        <v>0</v>
      </c>
    </row>
    <row r="26" spans="1:28" x14ac:dyDescent="0.25">
      <c r="A26">
        <v>4</v>
      </c>
      <c r="B26">
        <v>4</v>
      </c>
      <c r="C26">
        <v>6</v>
      </c>
      <c r="E26" cm="1">
        <f t="array" ref="E26">LOG(INDEX(C$2:C$47,$D$3-ROW(A25)+1))</f>
        <v>0.6020599913279624</v>
      </c>
      <c r="F26">
        <f t="shared" si="0"/>
        <v>0</v>
      </c>
      <c r="P26">
        <v>481</v>
      </c>
      <c r="Q26">
        <v>481</v>
      </c>
      <c r="R26">
        <v>106</v>
      </c>
      <c r="T26" cm="1">
        <f t="array" ref="T26">LOG(INDEX(R$2:R$63,$S$3-ROW(P25)+1))</f>
        <v>2.5998830720736876</v>
      </c>
      <c r="U26">
        <f t="shared" si="2"/>
        <v>0</v>
      </c>
      <c r="W26">
        <v>411</v>
      </c>
      <c r="X26">
        <v>411</v>
      </c>
      <c r="Y26">
        <v>5</v>
      </c>
      <c r="AA26" cm="1">
        <f t="array" ref="AA26">LOG(INDEX(Y$2:Y$158,$Z$3-ROW(W25)+1))</f>
        <v>2.509202522331103</v>
      </c>
      <c r="AB26">
        <f t="shared" si="3"/>
        <v>0</v>
      </c>
    </row>
    <row r="27" spans="1:28" x14ac:dyDescent="0.25">
      <c r="A27">
        <v>2</v>
      </c>
      <c r="B27">
        <v>2</v>
      </c>
      <c r="C27">
        <v>6</v>
      </c>
      <c r="E27" cm="1">
        <f t="array" ref="E27">LOG(INDEX(C$2:C$47,$D$3-ROW(A26)+1))</f>
        <v>0.3010299956639812</v>
      </c>
      <c r="F27">
        <f t="shared" si="0"/>
        <v>0</v>
      </c>
      <c r="P27">
        <v>468</v>
      </c>
      <c r="Q27">
        <v>468</v>
      </c>
      <c r="R27">
        <v>106</v>
      </c>
      <c r="T27" cm="1">
        <f t="array" ref="T27">LOG(INDEX(R$2:R$63,$S$3-ROW(P26)+1))</f>
        <v>2.5728716022004803</v>
      </c>
      <c r="U27">
        <f t="shared" si="2"/>
        <v>0</v>
      </c>
      <c r="W27">
        <v>400</v>
      </c>
      <c r="X27">
        <v>400</v>
      </c>
      <c r="Y27">
        <v>6</v>
      </c>
      <c r="AA27" cm="1">
        <f t="array" ref="AA27">LOG(INDEX(Y$2:Y$158,$Z$3-ROW(W26)+1))</f>
        <v>2.5051499783199058</v>
      </c>
      <c r="AB27">
        <f t="shared" si="3"/>
        <v>0</v>
      </c>
    </row>
    <row r="28" spans="1:28" x14ac:dyDescent="0.25">
      <c r="A28">
        <v>4</v>
      </c>
      <c r="B28">
        <v>4</v>
      </c>
      <c r="C28">
        <v>7</v>
      </c>
      <c r="E28" cm="1">
        <f t="array" ref="E28">LOG(INDEX(C$2:C$47,$D$3-ROW(A27)+1))</f>
        <v>0.3010299956639812</v>
      </c>
      <c r="F28">
        <f t="shared" si="0"/>
        <v>0</v>
      </c>
      <c r="P28">
        <v>398</v>
      </c>
      <c r="Q28">
        <v>398</v>
      </c>
      <c r="R28">
        <v>147</v>
      </c>
      <c r="T28" cm="1">
        <f t="array" ref="T28">LOG(INDEX(R$2:R$63,$S$3-ROW(P27)+1))</f>
        <v>2.5340261060561349</v>
      </c>
      <c r="U28">
        <f t="shared" si="2"/>
        <v>0</v>
      </c>
      <c r="W28">
        <v>400</v>
      </c>
      <c r="X28">
        <v>400</v>
      </c>
      <c r="Y28">
        <v>6</v>
      </c>
      <c r="AA28" cm="1">
        <f t="array" ref="AA28">LOG(INDEX(Y$2:Y$158,$Z$3-ROW(W27)+1))</f>
        <v>2.4955443375464483</v>
      </c>
      <c r="AB28">
        <f t="shared" si="3"/>
        <v>0</v>
      </c>
    </row>
    <row r="29" spans="1:28" x14ac:dyDescent="0.25">
      <c r="A29">
        <v>2</v>
      </c>
      <c r="B29">
        <v>2</v>
      </c>
      <c r="C29">
        <v>8</v>
      </c>
      <c r="E29" cm="1">
        <f t="array" ref="E29">LOG(INDEX(C$2:C$47,$D$3-ROW(A28)+1))</f>
        <v>0.3010299956639812</v>
      </c>
      <c r="F29">
        <f t="shared" si="0"/>
        <v>0</v>
      </c>
      <c r="P29">
        <v>342</v>
      </c>
      <c r="Q29">
        <v>342</v>
      </c>
      <c r="R29">
        <v>154</v>
      </c>
      <c r="T29" cm="1">
        <f t="array" ref="T29">LOG(INDEX(R$2:R$63,$S$3-ROW(P28)+1))</f>
        <v>2.5224442335063197</v>
      </c>
      <c r="U29">
        <f t="shared" si="2"/>
        <v>0</v>
      </c>
      <c r="W29">
        <v>396</v>
      </c>
      <c r="X29">
        <v>396</v>
      </c>
      <c r="Y29">
        <v>6</v>
      </c>
      <c r="AA29" cm="1">
        <f t="array" ref="AA29">LOG(INDEX(Y$2:Y$158,$Z$3-ROW(W28)+1))</f>
        <v>2.4941545940184429</v>
      </c>
      <c r="AB29">
        <f t="shared" si="3"/>
        <v>0</v>
      </c>
    </row>
    <row r="30" spans="1:28" x14ac:dyDescent="0.25">
      <c r="A30">
        <v>2</v>
      </c>
      <c r="B30">
        <v>2</v>
      </c>
      <c r="C30">
        <v>8</v>
      </c>
      <c r="E30" cm="1">
        <f t="array" ref="E30">LOG(INDEX(C$2:C$47,$D$3-ROW(A29)+1))</f>
        <v>0.3010299956639812</v>
      </c>
      <c r="F30">
        <f t="shared" si="0"/>
        <v>0</v>
      </c>
      <c r="P30">
        <v>374</v>
      </c>
      <c r="Q30">
        <v>374</v>
      </c>
      <c r="R30">
        <v>161</v>
      </c>
      <c r="T30" cm="1">
        <f t="array" ref="T30">LOG(INDEX(R$2:R$63,$S$3-ROW(P29)+1))</f>
        <v>2.4927603890268375</v>
      </c>
      <c r="U30">
        <f t="shared" si="2"/>
        <v>0</v>
      </c>
      <c r="W30">
        <v>492</v>
      </c>
      <c r="X30">
        <v>492</v>
      </c>
      <c r="Y30">
        <v>8</v>
      </c>
      <c r="AA30" cm="1">
        <f t="array" ref="AA30">LOG(INDEX(Y$2:Y$158,$Z$3-ROW(W29)+1))</f>
        <v>2.4899584794248346</v>
      </c>
      <c r="AB30">
        <f t="shared" si="3"/>
        <v>0</v>
      </c>
    </row>
    <row r="31" spans="1:28" x14ac:dyDescent="0.25">
      <c r="A31">
        <v>1</v>
      </c>
      <c r="B31">
        <v>1</v>
      </c>
      <c r="C31">
        <v>17</v>
      </c>
      <c r="E31" cm="1">
        <f t="array" ref="E31">LOG(INDEX(C$2:C$47,$D$3-ROW(A30)+1))</f>
        <v>0.3010299956639812</v>
      </c>
      <c r="F31">
        <f t="shared" si="0"/>
        <v>0</v>
      </c>
      <c r="P31">
        <v>297</v>
      </c>
      <c r="Q31">
        <v>297</v>
      </c>
      <c r="R31">
        <v>242</v>
      </c>
      <c r="T31" cm="1">
        <f t="array" ref="T31">LOG(INDEX(R$2:R$63,$S$3-ROW(P30)+1))</f>
        <v>2.4727564493172123</v>
      </c>
      <c r="U31">
        <f t="shared" si="2"/>
        <v>0</v>
      </c>
      <c r="W31">
        <v>386</v>
      </c>
      <c r="X31">
        <v>386</v>
      </c>
      <c r="Y31">
        <v>8</v>
      </c>
      <c r="AA31" cm="1">
        <f t="array" ref="AA31">LOG(INDEX(Y$2:Y$158,$Z$3-ROW(W30)+1))</f>
        <v>2.4899584794248346</v>
      </c>
      <c r="AB31">
        <f t="shared" si="3"/>
        <v>0</v>
      </c>
    </row>
    <row r="32" spans="1:28" x14ac:dyDescent="0.25">
      <c r="A32">
        <v>2</v>
      </c>
      <c r="B32">
        <v>2</v>
      </c>
      <c r="C32">
        <v>19</v>
      </c>
      <c r="E32" cm="1">
        <f t="array" ref="E32">LOG(INDEX(C$2:C$47,$D$3-ROW(A31)+1))</f>
        <v>0.3010299956639812</v>
      </c>
      <c r="F32">
        <f t="shared" si="0"/>
        <v>0</v>
      </c>
      <c r="P32">
        <v>242</v>
      </c>
      <c r="Q32">
        <v>242</v>
      </c>
      <c r="R32">
        <v>242</v>
      </c>
      <c r="T32" cm="1">
        <f t="array" ref="T32">LOG(INDEX(R$2:R$63,$S$3-ROW(P31)+1))</f>
        <v>2.4393326938302629</v>
      </c>
      <c r="U32">
        <f t="shared" si="2"/>
        <v>0</v>
      </c>
      <c r="W32">
        <v>418</v>
      </c>
      <c r="X32">
        <v>418</v>
      </c>
      <c r="Y32">
        <v>8</v>
      </c>
      <c r="AA32" cm="1">
        <f t="array" ref="AA32">LOG(INDEX(Y$2:Y$158,$Z$3-ROW(W31)+1))</f>
        <v>2.4800069429571505</v>
      </c>
      <c r="AB32">
        <f t="shared" si="3"/>
        <v>0</v>
      </c>
    </row>
    <row r="33" spans="1:28" x14ac:dyDescent="0.25">
      <c r="A33">
        <v>1</v>
      </c>
      <c r="B33">
        <v>1</v>
      </c>
      <c r="C33">
        <v>19</v>
      </c>
      <c r="E33" cm="1">
        <f t="array" ref="E33">LOG(INDEX(C$2:C$47,$D$3-ROW(A32)+1))</f>
        <v>0.3010299956639812</v>
      </c>
      <c r="F33">
        <f t="shared" si="0"/>
        <v>0</v>
      </c>
      <c r="P33">
        <v>242</v>
      </c>
      <c r="Q33">
        <v>242</v>
      </c>
      <c r="R33">
        <v>275</v>
      </c>
      <c r="T33" cm="1">
        <f t="array" ref="T33">LOG(INDEX(R$2:R$63,$S$3-ROW(P32)+1))</f>
        <v>2.3838153659804311</v>
      </c>
      <c r="U33">
        <f t="shared" si="2"/>
        <v>0</v>
      </c>
      <c r="W33">
        <v>555</v>
      </c>
      <c r="X33">
        <v>555</v>
      </c>
      <c r="Y33">
        <v>8</v>
      </c>
      <c r="AA33" cm="1">
        <f t="array" ref="AA33">LOG(INDEX(Y$2:Y$158,$Z$3-ROW(W32)+1))</f>
        <v>2.4683473304121573</v>
      </c>
      <c r="AB33">
        <f t="shared" si="3"/>
        <v>0</v>
      </c>
    </row>
    <row r="34" spans="1:28" x14ac:dyDescent="0.25">
      <c r="A34">
        <v>2</v>
      </c>
      <c r="B34">
        <v>2</v>
      </c>
      <c r="C34">
        <v>29</v>
      </c>
      <c r="E34" cm="1">
        <f t="array" ref="E34">LOG(INDEX(C$2:C$47,$D$3-ROW(A33)+1))</f>
        <v>0.3010299956639812</v>
      </c>
      <c r="F34">
        <f t="shared" si="0"/>
        <v>0</v>
      </c>
      <c r="P34">
        <v>404</v>
      </c>
      <c r="Q34">
        <v>404</v>
      </c>
      <c r="R34">
        <v>297</v>
      </c>
      <c r="T34" cm="1">
        <f t="array" ref="T34">LOG(INDEX(R$2:R$63,$S$3-ROW(P33)+1))</f>
        <v>2.3838153659804311</v>
      </c>
      <c r="U34">
        <f t="shared" si="2"/>
        <v>0</v>
      </c>
      <c r="W34">
        <v>400</v>
      </c>
      <c r="X34">
        <v>400</v>
      </c>
      <c r="Y34">
        <v>8</v>
      </c>
      <c r="AA34" cm="1">
        <f t="array" ref="AA34">LOG(INDEX(Y$2:Y$158,$Z$3-ROW(W33)+1))</f>
        <v>2.4623979978989561</v>
      </c>
      <c r="AB34">
        <f t="shared" si="3"/>
        <v>0</v>
      </c>
    </row>
    <row r="35" spans="1:28" x14ac:dyDescent="0.25">
      <c r="A35">
        <v>1</v>
      </c>
      <c r="B35">
        <v>1</v>
      </c>
      <c r="C35">
        <v>37</v>
      </c>
      <c r="E35" cm="1">
        <f t="array" ref="E35">LOG(INDEX(C$2:C$47,$D$3-ROW(A34)+1))</f>
        <v>0.3010299956639812</v>
      </c>
      <c r="F35">
        <f t="shared" si="0"/>
        <v>0</v>
      </c>
      <c r="P35">
        <v>161</v>
      </c>
      <c r="Q35">
        <v>161</v>
      </c>
      <c r="R35">
        <v>311</v>
      </c>
      <c r="T35" cm="1">
        <f t="array" ref="T35">LOG(INDEX(R$2:R$63,$S$3-ROW(P34)+1))</f>
        <v>2.2068258760318495</v>
      </c>
      <c r="U35">
        <f t="shared" si="2"/>
        <v>0</v>
      </c>
      <c r="W35">
        <v>369</v>
      </c>
      <c r="X35">
        <v>369</v>
      </c>
      <c r="Y35">
        <v>10</v>
      </c>
      <c r="AA35" cm="1">
        <f t="array" ref="AA35">LOG(INDEX(Y$2:Y$158,$Z$3-ROW(W34)+1))</f>
        <v>2.4502491083193609</v>
      </c>
      <c r="AB35">
        <f t="shared" si="3"/>
        <v>0</v>
      </c>
    </row>
    <row r="36" spans="1:28" x14ac:dyDescent="0.25">
      <c r="A36">
        <v>1</v>
      </c>
      <c r="B36">
        <v>1</v>
      </c>
      <c r="C36">
        <v>46</v>
      </c>
      <c r="E36" cm="1">
        <f t="array" ref="E36">LOG(INDEX(C$2:C$47,$D$3-ROW(A35)+1))</f>
        <v>0</v>
      </c>
      <c r="F36">
        <f t="shared" si="0"/>
        <v>0</v>
      </c>
      <c r="P36">
        <v>147</v>
      </c>
      <c r="Q36">
        <v>147</v>
      </c>
      <c r="R36">
        <v>333</v>
      </c>
      <c r="T36" cm="1">
        <f t="array" ref="T36">LOG(INDEX(R$2:R$63,$S$3-ROW(P35)+1))</f>
        <v>2.1875207208364631</v>
      </c>
      <c r="U36">
        <f t="shared" si="2"/>
        <v>0</v>
      </c>
      <c r="W36">
        <v>393</v>
      </c>
      <c r="X36">
        <v>393</v>
      </c>
      <c r="Y36">
        <v>10</v>
      </c>
      <c r="AA36" cm="1">
        <f t="array" ref="AA36">LOG(INDEX(Y$2:Y$158,$Z$3-ROW(W35)+1))</f>
        <v>2.4471580313422194</v>
      </c>
      <c r="AB36">
        <f t="shared" si="3"/>
        <v>0</v>
      </c>
    </row>
    <row r="37" spans="1:28" x14ac:dyDescent="0.25">
      <c r="A37">
        <v>1</v>
      </c>
      <c r="B37">
        <v>1</v>
      </c>
      <c r="C37">
        <v>63</v>
      </c>
      <c r="E37" cm="1">
        <f t="array" ref="E37">LOG(INDEX(C$2:C$47,$D$3-ROW(A36)+1))</f>
        <v>0</v>
      </c>
      <c r="F37">
        <f t="shared" si="0"/>
        <v>0</v>
      </c>
      <c r="P37">
        <v>275</v>
      </c>
      <c r="Q37">
        <v>275</v>
      </c>
      <c r="R37">
        <v>342</v>
      </c>
      <c r="T37" cm="1">
        <f t="array" ref="T37">LOG(INDEX(R$2:R$63,$S$3-ROW(P36)+1))</f>
        <v>2.167317334748176</v>
      </c>
      <c r="U37">
        <f t="shared" si="2"/>
        <v>0</v>
      </c>
      <c r="W37">
        <v>356</v>
      </c>
      <c r="X37">
        <v>356</v>
      </c>
      <c r="Y37">
        <v>10</v>
      </c>
      <c r="AA37" cm="1">
        <f t="array" ref="AA37">LOG(INDEX(Y$2:Y$158,$Z$3-ROW(W36)+1))</f>
        <v>2.4409090820652177</v>
      </c>
      <c r="AB37">
        <f t="shared" si="3"/>
        <v>0</v>
      </c>
    </row>
    <row r="38" spans="1:28" x14ac:dyDescent="0.25">
      <c r="A38">
        <v>2</v>
      </c>
      <c r="B38">
        <v>2</v>
      </c>
      <c r="C38">
        <v>76</v>
      </c>
      <c r="E38" cm="1">
        <f t="array" ref="E38">LOG(INDEX(C$2:C$47,$D$3-ROW(A37)+1))</f>
        <v>0</v>
      </c>
      <c r="F38">
        <f t="shared" si="0"/>
        <v>0</v>
      </c>
      <c r="P38">
        <v>106</v>
      </c>
      <c r="Q38">
        <v>106</v>
      </c>
      <c r="R38">
        <v>374</v>
      </c>
      <c r="T38" cm="1">
        <f t="array" ref="T38">LOG(INDEX(R$2:R$63,$S$3-ROW(P37)+1))</f>
        <v>2.0253058652647704</v>
      </c>
      <c r="U38">
        <f t="shared" si="2"/>
        <v>0</v>
      </c>
      <c r="W38">
        <v>392</v>
      </c>
      <c r="X38">
        <v>392</v>
      </c>
      <c r="Y38">
        <v>13</v>
      </c>
      <c r="AA38" cm="1">
        <f t="array" ref="AA38">LOG(INDEX(Y$2:Y$158,$Z$3-ROW(W37)+1))</f>
        <v>2.4409090820652177</v>
      </c>
      <c r="AB38">
        <f t="shared" si="3"/>
        <v>0</v>
      </c>
    </row>
    <row r="39" spans="1:28" x14ac:dyDescent="0.25">
      <c r="A39">
        <v>1</v>
      </c>
      <c r="B39">
        <v>1</v>
      </c>
      <c r="C39">
        <v>125</v>
      </c>
      <c r="E39" cm="1">
        <f t="array" ref="E39">LOG(INDEX(C$2:C$47,$D$3-ROW(A38)+1))</f>
        <v>0</v>
      </c>
      <c r="F39">
        <f t="shared" si="0"/>
        <v>0</v>
      </c>
      <c r="P39">
        <v>154</v>
      </c>
      <c r="Q39">
        <v>154</v>
      </c>
      <c r="R39">
        <v>398</v>
      </c>
      <c r="T39" cm="1">
        <f t="array" ref="T39">LOG(INDEX(R$2:R$63,$S$3-ROW(P38)+1))</f>
        <v>2.0253058652647704</v>
      </c>
      <c r="U39">
        <f t="shared" si="2"/>
        <v>0</v>
      </c>
      <c r="W39">
        <v>323</v>
      </c>
      <c r="X39">
        <v>323</v>
      </c>
      <c r="Y39">
        <v>14</v>
      </c>
      <c r="AA39" cm="1">
        <f t="array" ref="AA39">LOG(INDEX(Y$2:Y$158,$Z$3-ROW(W38)+1))</f>
        <v>2.4393326938302629</v>
      </c>
      <c r="AB39">
        <f t="shared" si="3"/>
        <v>0</v>
      </c>
    </row>
    <row r="40" spans="1:28" x14ac:dyDescent="0.25">
      <c r="A40">
        <v>2</v>
      </c>
      <c r="B40">
        <v>2</v>
      </c>
      <c r="C40">
        <v>192</v>
      </c>
      <c r="E40" cm="1">
        <f t="array" ref="E40">LOG(INDEX(C$2:C$47,$D$3-ROW(A39)+1))</f>
        <v>0</v>
      </c>
      <c r="F40">
        <f t="shared" si="0"/>
        <v>0</v>
      </c>
      <c r="P40">
        <v>67</v>
      </c>
      <c r="Q40">
        <v>67</v>
      </c>
      <c r="R40">
        <v>404</v>
      </c>
      <c r="T40" cm="1">
        <f t="array" ref="T40">LOG(INDEX(R$2:R$63,$S$3-ROW(P39)+1))</f>
        <v>1.8260748027008264</v>
      </c>
      <c r="U40">
        <f t="shared" si="2"/>
        <v>0</v>
      </c>
      <c r="W40">
        <v>349</v>
      </c>
      <c r="X40">
        <v>349</v>
      </c>
      <c r="Y40">
        <v>14</v>
      </c>
      <c r="AA40" cm="1">
        <f t="array" ref="AA40">LOG(INDEX(Y$2:Y$158,$Z$3-ROW(W39)+1))</f>
        <v>2.4377505628203879</v>
      </c>
      <c r="AB40">
        <f t="shared" si="3"/>
        <v>0</v>
      </c>
    </row>
    <row r="41" spans="1:28" x14ac:dyDescent="0.25">
      <c r="A41">
        <v>1</v>
      </c>
      <c r="B41">
        <v>1</v>
      </c>
      <c r="C41">
        <v>287</v>
      </c>
      <c r="E41" cm="1">
        <f t="array" ref="E41">LOG(INDEX(C$2:C$47,$D$3-ROW(A40)+1))</f>
        <v>0</v>
      </c>
      <c r="F41">
        <f t="shared" si="0"/>
        <v>0</v>
      </c>
      <c r="P41">
        <v>57</v>
      </c>
      <c r="Q41">
        <v>57</v>
      </c>
      <c r="R41">
        <v>442</v>
      </c>
      <c r="T41" cm="1">
        <f t="array" ref="T41">LOG(INDEX(R$2:R$63,$S$3-ROW(P40)+1))</f>
        <v>1.7558748556724915</v>
      </c>
      <c r="U41">
        <f t="shared" si="2"/>
        <v>0</v>
      </c>
      <c r="W41">
        <v>294</v>
      </c>
      <c r="X41">
        <v>294</v>
      </c>
      <c r="Y41">
        <v>17</v>
      </c>
      <c r="AA41" cm="1">
        <f t="array" ref="AA41">LOG(INDEX(Y$2:Y$158,$Z$3-ROW(W40)+1))</f>
        <v>2.4377505628203879</v>
      </c>
      <c r="AB41">
        <f t="shared" si="3"/>
        <v>0</v>
      </c>
    </row>
    <row r="42" spans="1:28" x14ac:dyDescent="0.25">
      <c r="A42">
        <v>2</v>
      </c>
      <c r="B42">
        <v>2</v>
      </c>
      <c r="C42">
        <v>548</v>
      </c>
      <c r="E42" cm="1">
        <f t="array" ref="E42">LOG(INDEX(C$2:C$47,$D$3-ROW(A41)+1))</f>
        <v>0</v>
      </c>
      <c r="F42">
        <f t="shared" si="0"/>
        <v>0</v>
      </c>
      <c r="P42">
        <v>106</v>
      </c>
      <c r="Q42">
        <v>106</v>
      </c>
      <c r="R42">
        <v>468</v>
      </c>
      <c r="T42" cm="1">
        <f t="array" ref="T42">LOG(INDEX(R$2:R$63,$S$3-ROW(P41)+1))</f>
        <v>1.7323937598229686</v>
      </c>
      <c r="U42">
        <f t="shared" si="2"/>
        <v>0</v>
      </c>
      <c r="W42">
        <v>312</v>
      </c>
      <c r="X42">
        <v>312</v>
      </c>
      <c r="Y42">
        <v>17</v>
      </c>
      <c r="AA42" cm="1">
        <f t="array" ref="AA42">LOG(INDEX(Y$2:Y$158,$Z$3-ROW(W41)+1))</f>
        <v>2.4377505628203879</v>
      </c>
      <c r="AB42">
        <f t="shared" si="3"/>
        <v>0</v>
      </c>
    </row>
    <row r="43" spans="1:28" x14ac:dyDescent="0.25">
      <c r="A43">
        <v>1</v>
      </c>
      <c r="B43">
        <v>1</v>
      </c>
      <c r="C43">
        <v>1107</v>
      </c>
      <c r="E43" cm="1">
        <f t="array" ref="E43">LOG(INDEX(C$2:C$47,$D$3-ROW(A42)+1))</f>
        <v>0</v>
      </c>
      <c r="F43">
        <f t="shared" si="0"/>
        <v>0</v>
      </c>
      <c r="P43">
        <v>46</v>
      </c>
      <c r="Q43">
        <v>46</v>
      </c>
      <c r="R43">
        <v>481</v>
      </c>
      <c r="T43" cm="1">
        <f t="array" ref="T43">LOG(INDEX(R$2:R$63,$S$3-ROW(P42)+1))</f>
        <v>1.7160033436347992</v>
      </c>
      <c r="U43">
        <f t="shared" si="2"/>
        <v>0</v>
      </c>
      <c r="W43">
        <v>313</v>
      </c>
      <c r="X43">
        <v>313</v>
      </c>
      <c r="Y43">
        <v>17</v>
      </c>
      <c r="AA43" cm="1">
        <f t="array" ref="AA43">LOG(INDEX(Y$2:Y$158,$Z$3-ROW(W42)+1))</f>
        <v>2.4345689040341987</v>
      </c>
      <c r="AB43">
        <f t="shared" si="3"/>
        <v>0</v>
      </c>
    </row>
    <row r="44" spans="1:28" x14ac:dyDescent="0.25">
      <c r="A44">
        <v>1</v>
      </c>
      <c r="B44">
        <v>1</v>
      </c>
      <c r="C44">
        <v>2461</v>
      </c>
      <c r="E44" cm="1">
        <f t="array" ref="E44">LOG(INDEX(C$2:C$47,$D$3-ROW(A43)+1))</f>
        <v>0</v>
      </c>
      <c r="F44">
        <f t="shared" si="0"/>
        <v>0</v>
      </c>
      <c r="P44">
        <v>54</v>
      </c>
      <c r="Q44">
        <v>54</v>
      </c>
      <c r="R44">
        <v>542</v>
      </c>
      <c r="T44" cm="1">
        <f t="array" ref="T44">LOG(INDEX(R$2:R$63,$S$3-ROW(P43)+1))</f>
        <v>1.7075701760979363</v>
      </c>
      <c r="U44">
        <f t="shared" si="2"/>
        <v>0</v>
      </c>
      <c r="W44">
        <v>282</v>
      </c>
      <c r="X44">
        <v>282</v>
      </c>
      <c r="Y44">
        <v>19</v>
      </c>
      <c r="AA44" cm="1">
        <f t="array" ref="AA44">LOG(INDEX(Y$2:Y$158,$Z$3-ROW(W43)+1))</f>
        <v>2.4329692908744058</v>
      </c>
      <c r="AB44">
        <f t="shared" si="3"/>
        <v>0</v>
      </c>
    </row>
    <row r="45" spans="1:28" x14ac:dyDescent="0.25">
      <c r="A45">
        <v>1</v>
      </c>
      <c r="B45">
        <v>1</v>
      </c>
      <c r="C45">
        <v>2629</v>
      </c>
      <c r="E45" cm="1">
        <f t="array" ref="E45">LOG(INDEX(C$2:C$47,$D$3-ROW(A44)+1))</f>
        <v>0</v>
      </c>
      <c r="F45">
        <f t="shared" si="0"/>
        <v>0</v>
      </c>
      <c r="P45">
        <v>37</v>
      </c>
      <c r="Q45">
        <v>37</v>
      </c>
      <c r="R45">
        <v>587</v>
      </c>
      <c r="T45" cm="1">
        <f t="array" ref="T45">LOG(INDEX(R$2:R$63,$S$3-ROW(P44)+1))</f>
        <v>1.6627578316815741</v>
      </c>
      <c r="U45">
        <f t="shared" si="2"/>
        <v>0</v>
      </c>
      <c r="W45">
        <v>276</v>
      </c>
      <c r="X45">
        <v>276</v>
      </c>
      <c r="Y45">
        <v>19</v>
      </c>
      <c r="AA45" cm="1">
        <f t="array" ref="AA45">LOG(INDEX(Y$2:Y$158,$Z$3-ROW(W44)+1))</f>
        <v>2.424881636631067</v>
      </c>
      <c r="AB45">
        <f t="shared" si="3"/>
        <v>0</v>
      </c>
    </row>
    <row r="46" spans="1:28" x14ac:dyDescent="0.25">
      <c r="A46">
        <v>1</v>
      </c>
      <c r="B46">
        <v>1</v>
      </c>
      <c r="C46">
        <v>6142</v>
      </c>
      <c r="E46" cm="1">
        <f t="array" ref="E46">LOG(INDEX(C$2:C$47,$D$3-ROW(A45)+1))</f>
        <v>0</v>
      </c>
      <c r="F46">
        <f t="shared" si="0"/>
        <v>0</v>
      </c>
      <c r="P46">
        <v>52</v>
      </c>
      <c r="Q46">
        <v>52</v>
      </c>
      <c r="R46">
        <v>645</v>
      </c>
      <c r="T46" cm="1">
        <f t="array" ref="T46">LOG(INDEX(R$2:R$63,$S$3-ROW(P45)+1))</f>
        <v>1.568201724066995</v>
      </c>
      <c r="U46">
        <f t="shared" si="2"/>
        <v>0</v>
      </c>
      <c r="W46">
        <v>359</v>
      </c>
      <c r="X46">
        <v>359</v>
      </c>
      <c r="Y46">
        <v>20</v>
      </c>
      <c r="AA46" cm="1">
        <f t="array" ref="AA46">LOG(INDEX(Y$2:Y$158,$Z$3-ROW(W45)+1))</f>
        <v>2.419955748489758</v>
      </c>
      <c r="AB46">
        <f t="shared" si="3"/>
        <v>0</v>
      </c>
    </row>
    <row r="47" spans="1:28" x14ac:dyDescent="0.25">
      <c r="A47">
        <v>1</v>
      </c>
      <c r="B47">
        <v>1</v>
      </c>
      <c r="C47">
        <v>10132</v>
      </c>
      <c r="E47" cm="1">
        <f t="array" ref="E47">LOG(INDEX(C$2:C$47,$D$3-ROW(A46)+1))</f>
        <v>0</v>
      </c>
      <c r="F47">
        <f t="shared" si="0"/>
        <v>0</v>
      </c>
      <c r="P47">
        <v>19</v>
      </c>
      <c r="Q47">
        <v>19</v>
      </c>
      <c r="R47">
        <v>678</v>
      </c>
      <c r="T47" cm="1">
        <f t="array" ref="T47">LOG(INDEX(R$2:R$63,$S$3-ROW(P46)+1))</f>
        <v>1.5314789170422551</v>
      </c>
      <c r="U47">
        <f t="shared" si="2"/>
        <v>0</v>
      </c>
      <c r="W47">
        <v>266</v>
      </c>
      <c r="X47">
        <v>266</v>
      </c>
      <c r="Y47">
        <v>21</v>
      </c>
      <c r="AA47" cm="1">
        <f t="array" ref="AA47">LOG(INDEX(Y$2:Y$158,$Z$3-ROW(W46)+1))</f>
        <v>2.419955748489758</v>
      </c>
      <c r="AB47">
        <f t="shared" si="3"/>
        <v>0</v>
      </c>
    </row>
    <row r="48" spans="1:28" x14ac:dyDescent="0.25">
      <c r="P48">
        <v>13</v>
      </c>
      <c r="Q48">
        <v>13</v>
      </c>
      <c r="R48">
        <v>715</v>
      </c>
      <c r="T48" cm="1">
        <f t="array" ref="T48">LOG(INDEX(R$2:R$63,$S$3-ROW(P47)+1))</f>
        <v>1.2787536009528289</v>
      </c>
      <c r="U48">
        <f t="shared" si="2"/>
        <v>0</v>
      </c>
      <c r="W48">
        <v>263</v>
      </c>
      <c r="X48">
        <v>263</v>
      </c>
      <c r="Y48">
        <v>24</v>
      </c>
      <c r="AA48" cm="1">
        <f t="array" ref="AA48">LOG(INDEX(Y$2:Y$158,$Z$3-ROW(W47)+1))</f>
        <v>2.4149733479708178</v>
      </c>
      <c r="AB48">
        <f t="shared" si="3"/>
        <v>0</v>
      </c>
    </row>
    <row r="49" spans="16:28" x14ac:dyDescent="0.25">
      <c r="P49">
        <v>34</v>
      </c>
      <c r="Q49">
        <v>34</v>
      </c>
      <c r="R49">
        <v>798</v>
      </c>
      <c r="T49" cm="1">
        <f t="array" ref="T49">LOG(INDEX(R$2:R$63,$S$3-ROW(P48)+1))</f>
        <v>1.1760912590556813</v>
      </c>
      <c r="U49">
        <f t="shared" si="2"/>
        <v>0</v>
      </c>
      <c r="W49">
        <v>235</v>
      </c>
      <c r="X49">
        <v>235</v>
      </c>
      <c r="Y49">
        <v>25</v>
      </c>
      <c r="AA49" cm="1">
        <f t="array" ref="AA49">LOG(INDEX(Y$2:Y$158,$Z$3-ROW(W48)+1))</f>
        <v>2.4048337166199381</v>
      </c>
      <c r="AB49">
        <f t="shared" si="3"/>
        <v>0</v>
      </c>
    </row>
    <row r="50" spans="16:28" x14ac:dyDescent="0.25">
      <c r="P50">
        <v>15</v>
      </c>
      <c r="Q50">
        <v>15</v>
      </c>
      <c r="R50">
        <v>807</v>
      </c>
      <c r="T50" cm="1">
        <f t="array" ref="T50">LOG(INDEX(R$2:R$63,$S$3-ROW(P49)+1))</f>
        <v>1.1139433523068367</v>
      </c>
      <c r="U50">
        <f t="shared" si="2"/>
        <v>0</v>
      </c>
      <c r="W50">
        <v>235</v>
      </c>
      <c r="X50">
        <v>235</v>
      </c>
      <c r="Y50">
        <v>25</v>
      </c>
      <c r="AA50" cm="1">
        <f t="array" ref="AA50">LOG(INDEX(Y$2:Y$158,$Z$3-ROW(W49)+1))</f>
        <v>2.3961993470957363</v>
      </c>
      <c r="AB50">
        <f t="shared" si="3"/>
        <v>0</v>
      </c>
    </row>
    <row r="51" spans="16:28" x14ac:dyDescent="0.25">
      <c r="P51">
        <v>11</v>
      </c>
      <c r="Q51">
        <v>11</v>
      </c>
      <c r="R51">
        <v>845</v>
      </c>
      <c r="T51" cm="1">
        <f t="array" ref="T51">LOG(INDEX(R$2:R$63,$S$3-ROW(P50)+1))</f>
        <v>1.0413926851582251</v>
      </c>
      <c r="U51">
        <f t="shared" si="2"/>
        <v>0</v>
      </c>
      <c r="W51">
        <v>249</v>
      </c>
      <c r="X51">
        <v>249</v>
      </c>
      <c r="Y51">
        <v>26</v>
      </c>
      <c r="AA51" cm="1">
        <f t="array" ref="AA51">LOG(INDEX(Y$2:Y$158,$Z$3-ROW(W50)+1))</f>
        <v>2.3838153659804311</v>
      </c>
      <c r="AB51">
        <f t="shared" si="3"/>
        <v>0</v>
      </c>
    </row>
    <row r="52" spans="16:28" x14ac:dyDescent="0.25">
      <c r="P52">
        <v>7</v>
      </c>
      <c r="Q52">
        <v>7</v>
      </c>
      <c r="R52">
        <v>910</v>
      </c>
      <c r="T52" cm="1">
        <f t="array" ref="T52">LOG(INDEX(R$2:R$63,$S$3-ROW(P51)+1))</f>
        <v>1</v>
      </c>
      <c r="U52">
        <f t="shared" si="2"/>
        <v>0</v>
      </c>
      <c r="W52">
        <v>128</v>
      </c>
      <c r="X52">
        <v>128</v>
      </c>
      <c r="Y52">
        <v>27</v>
      </c>
      <c r="AA52" cm="1">
        <f t="array" ref="AA52">LOG(INDEX(Y$2:Y$158,$Z$3-ROW(W51)+1))</f>
        <v>2.3820170425748683</v>
      </c>
      <c r="AB52">
        <f t="shared" si="3"/>
        <v>0</v>
      </c>
    </row>
    <row r="53" spans="16:28" x14ac:dyDescent="0.25">
      <c r="P53">
        <v>3</v>
      </c>
      <c r="Q53">
        <v>3</v>
      </c>
      <c r="R53">
        <v>912</v>
      </c>
      <c r="T53" cm="1">
        <f t="array" ref="T53">LOG(INDEX(R$2:R$63,$S$3-ROW(P52)+1))</f>
        <v>0.84509804001425681</v>
      </c>
      <c r="U53">
        <f t="shared" si="2"/>
        <v>0</v>
      </c>
      <c r="W53">
        <v>242</v>
      </c>
      <c r="X53">
        <v>242</v>
      </c>
      <c r="Y53">
        <v>28</v>
      </c>
      <c r="AA53" cm="1">
        <f t="array" ref="AA53">LOG(INDEX(Y$2:Y$158,$Z$3-ROW(W52)+1))</f>
        <v>2.3820170425748683</v>
      </c>
      <c r="AB53">
        <f t="shared" si="3"/>
        <v>0</v>
      </c>
    </row>
    <row r="54" spans="16:28" x14ac:dyDescent="0.25">
      <c r="P54">
        <v>10</v>
      </c>
      <c r="Q54">
        <v>10</v>
      </c>
      <c r="R54">
        <v>941</v>
      </c>
      <c r="T54" cm="1">
        <f t="array" ref="T54">LOG(INDEX(R$2:R$63,$S$3-ROW(P53)+1))</f>
        <v>0.69897000433601886</v>
      </c>
      <c r="U54">
        <f t="shared" si="2"/>
        <v>0</v>
      </c>
      <c r="W54">
        <v>309</v>
      </c>
      <c r="X54">
        <v>309</v>
      </c>
      <c r="Y54">
        <v>28</v>
      </c>
      <c r="AA54" cm="1">
        <f t="array" ref="AA54">LOG(INDEX(Y$2:Y$158,$Z$3-ROW(W53)+1))</f>
        <v>2.3765769570565118</v>
      </c>
      <c r="AB54">
        <f t="shared" si="3"/>
        <v>0</v>
      </c>
    </row>
    <row r="55" spans="16:28" x14ac:dyDescent="0.25">
      <c r="P55">
        <v>2</v>
      </c>
      <c r="Q55">
        <v>2</v>
      </c>
      <c r="R55">
        <v>998</v>
      </c>
      <c r="T55" cm="1">
        <f t="array" ref="T55">LOG(INDEX(R$2:R$63,$S$3-ROW(P54)+1))</f>
        <v>0.6020599913279624</v>
      </c>
      <c r="U55">
        <f t="shared" si="2"/>
        <v>0</v>
      </c>
      <c r="W55">
        <v>320</v>
      </c>
      <c r="X55">
        <v>320</v>
      </c>
      <c r="Y55">
        <v>28</v>
      </c>
      <c r="AA55" cm="1">
        <f t="array" ref="AA55">LOG(INDEX(Y$2:Y$158,$Z$3-ROW(W54)+1))</f>
        <v>2.3710678622717363</v>
      </c>
      <c r="AB55">
        <f t="shared" si="3"/>
        <v>0</v>
      </c>
    </row>
    <row r="56" spans="16:28" x14ac:dyDescent="0.25">
      <c r="P56">
        <v>5</v>
      </c>
      <c r="Q56">
        <v>5</v>
      </c>
      <c r="R56">
        <v>1016</v>
      </c>
      <c r="T56" cm="1">
        <f t="array" ref="T56">LOG(INDEX(R$2:R$63,$S$3-ROW(P55)+1))</f>
        <v>0.6020599913279624</v>
      </c>
      <c r="U56">
        <f t="shared" si="2"/>
        <v>0</v>
      </c>
      <c r="W56">
        <v>271</v>
      </c>
      <c r="X56">
        <v>271</v>
      </c>
      <c r="Y56">
        <v>29</v>
      </c>
      <c r="AA56" cm="1">
        <f t="array" ref="AA56">LOG(INDEX(Y$2:Y$158,$Z$3-ROW(W55)+1))</f>
        <v>2.3710678622717363</v>
      </c>
      <c r="AB56">
        <f t="shared" si="3"/>
        <v>0</v>
      </c>
    </row>
    <row r="57" spans="16:28" x14ac:dyDescent="0.25">
      <c r="P57">
        <v>1</v>
      </c>
      <c r="Q57">
        <v>1</v>
      </c>
      <c r="R57">
        <v>1055</v>
      </c>
      <c r="T57" cm="1">
        <f t="array" ref="T57">LOG(INDEX(R$2:R$63,$S$3-ROW(P56)+1))</f>
        <v>0.47712125471966244</v>
      </c>
      <c r="U57">
        <f t="shared" si="2"/>
        <v>0</v>
      </c>
      <c r="W57">
        <v>290</v>
      </c>
      <c r="X57">
        <v>290</v>
      </c>
      <c r="Y57">
        <v>30</v>
      </c>
      <c r="AA57" cm="1">
        <f t="array" ref="AA57">LOG(INDEX(Y$2:Y$158,$Z$3-ROW(W56)+1))</f>
        <v>2.3636119798921444</v>
      </c>
      <c r="AB57">
        <f t="shared" si="3"/>
        <v>0</v>
      </c>
    </row>
    <row r="58" spans="16:28" x14ac:dyDescent="0.25">
      <c r="P58">
        <v>1</v>
      </c>
      <c r="Q58">
        <v>1</v>
      </c>
      <c r="R58">
        <v>1082</v>
      </c>
      <c r="T58" cm="1">
        <f t="array" ref="T58">LOG(INDEX(R$2:R$63,$S$3-ROW(P57)+1))</f>
        <v>0.47712125471966244</v>
      </c>
      <c r="U58">
        <f t="shared" si="2"/>
        <v>0</v>
      </c>
      <c r="W58">
        <v>309</v>
      </c>
      <c r="X58">
        <v>309</v>
      </c>
      <c r="Y58">
        <v>31</v>
      </c>
      <c r="AA58" cm="1">
        <f t="array" ref="AA58">LOG(INDEX(Y$2:Y$158,$Z$3-ROW(W57)+1))</f>
        <v>2.3617278360175931</v>
      </c>
      <c r="AB58">
        <f t="shared" si="3"/>
        <v>0</v>
      </c>
    </row>
    <row r="59" spans="16:28" x14ac:dyDescent="0.25">
      <c r="P59">
        <v>4</v>
      </c>
      <c r="Q59">
        <v>4</v>
      </c>
      <c r="R59">
        <v>1103</v>
      </c>
      <c r="T59" cm="1">
        <f t="array" ref="T59">LOG(INDEX(R$2:R$63,$S$3-ROW(P58)+1))</f>
        <v>0.3010299956639812</v>
      </c>
      <c r="U59">
        <f t="shared" si="2"/>
        <v>0</v>
      </c>
      <c r="W59">
        <v>274</v>
      </c>
      <c r="X59">
        <v>274</v>
      </c>
      <c r="Y59">
        <v>37</v>
      </c>
      <c r="AA59" cm="1">
        <f t="array" ref="AA59">LOG(INDEX(Y$2:Y$158,$Z$3-ROW(W58)+1))</f>
        <v>2.3483048630481607</v>
      </c>
      <c r="AB59">
        <f t="shared" si="3"/>
        <v>0</v>
      </c>
    </row>
    <row r="60" spans="16:28" x14ac:dyDescent="0.25">
      <c r="P60">
        <v>2</v>
      </c>
      <c r="Q60">
        <v>2</v>
      </c>
      <c r="R60">
        <v>1128</v>
      </c>
      <c r="T60" cm="1">
        <f t="array" ref="T60">LOG(INDEX(R$2:R$63,$S$3-ROW(P59)+1))</f>
        <v>0.3010299956639812</v>
      </c>
      <c r="U60">
        <f t="shared" si="2"/>
        <v>0</v>
      </c>
      <c r="W60">
        <v>276</v>
      </c>
      <c r="X60">
        <v>276</v>
      </c>
      <c r="Y60">
        <v>39</v>
      </c>
      <c r="AA60" cm="1">
        <f t="array" ref="AA60">LOG(INDEX(Y$2:Y$158,$Z$3-ROW(W59)+1))</f>
        <v>2.307496037913213</v>
      </c>
      <c r="AB60">
        <f t="shared" si="3"/>
        <v>0</v>
      </c>
    </row>
    <row r="61" spans="16:28" x14ac:dyDescent="0.25">
      <c r="P61">
        <v>3</v>
      </c>
      <c r="Q61">
        <v>3</v>
      </c>
      <c r="R61">
        <v>1148</v>
      </c>
      <c r="T61" cm="1">
        <f t="array" ref="T61">LOG(INDEX(R$2:R$63,$S$3-ROW(P60)+1))</f>
        <v>0</v>
      </c>
      <c r="U61">
        <f t="shared" si="2"/>
        <v>1</v>
      </c>
      <c r="W61">
        <v>263</v>
      </c>
      <c r="X61">
        <v>263</v>
      </c>
      <c r="Y61">
        <v>40</v>
      </c>
      <c r="AA61" cm="1">
        <f t="array" ref="AA61">LOG(INDEX(Y$2:Y$158,$Z$3-ROW(W60)+1))</f>
        <v>2.3010299956639813</v>
      </c>
      <c r="AB61">
        <f t="shared" si="3"/>
        <v>0</v>
      </c>
    </row>
    <row r="62" spans="16:28" x14ac:dyDescent="0.25">
      <c r="P62">
        <v>4</v>
      </c>
      <c r="Q62">
        <v>4</v>
      </c>
      <c r="R62">
        <v>1150</v>
      </c>
      <c r="T62" cm="1">
        <f t="array" ref="T62">LOG(INDEX(R$2:R$63,$S$3-ROW(P61)+1))</f>
        <v>0</v>
      </c>
      <c r="U62">
        <f t="shared" si="2"/>
        <v>1.0005685683393821</v>
      </c>
      <c r="W62">
        <v>274</v>
      </c>
      <c r="X62">
        <v>274</v>
      </c>
      <c r="Y62">
        <v>40</v>
      </c>
      <c r="AA62" cm="1">
        <f t="array" ref="AA62">LOG(INDEX(Y$2:Y$158,$Z$3-ROW(W61)+1))</f>
        <v>2.2764618041732443</v>
      </c>
      <c r="AB62">
        <f t="shared" si="3"/>
        <v>0</v>
      </c>
    </row>
    <row r="63" spans="16:28" x14ac:dyDescent="0.25">
      <c r="P63">
        <v>1</v>
      </c>
      <c r="Q63">
        <v>1</v>
      </c>
      <c r="R63">
        <v>1165</v>
      </c>
      <c r="T63" cm="1">
        <f t="array" ref="T63">LOG(INDEX(R$2:R$63,$S$3-ROW(P62)+1))</f>
        <v>0</v>
      </c>
      <c r="U63">
        <f t="shared" si="2"/>
        <v>1.0048117497883251</v>
      </c>
      <c r="W63">
        <v>274</v>
      </c>
      <c r="X63">
        <v>274</v>
      </c>
      <c r="Y63">
        <v>41</v>
      </c>
      <c r="AA63" cm="1">
        <f t="array" ref="AA63">LOG(INDEX(Y$2:Y$158,$Z$3-ROW(W62)+1))</f>
        <v>2.27415784926368</v>
      </c>
      <c r="AB63">
        <f t="shared" si="3"/>
        <v>0</v>
      </c>
    </row>
    <row r="64" spans="16:28" x14ac:dyDescent="0.25">
      <c r="W64">
        <v>241</v>
      </c>
      <c r="X64">
        <v>241</v>
      </c>
      <c r="Y64">
        <v>43</v>
      </c>
      <c r="AA64" cm="1">
        <f t="array" ref="AA64">LOG(INDEX(Y$2:Y$158,$Z$3-ROW(W63)+1))</f>
        <v>2.2600713879850747</v>
      </c>
      <c r="AB64">
        <f t="shared" si="3"/>
        <v>0</v>
      </c>
    </row>
    <row r="65" spans="23:28" x14ac:dyDescent="0.25">
      <c r="W65">
        <v>280</v>
      </c>
      <c r="X65">
        <v>280</v>
      </c>
      <c r="Y65">
        <v>43</v>
      </c>
      <c r="AA65" cm="1">
        <f t="array" ref="AA65">LOG(INDEX(Y$2:Y$158,$Z$3-ROW(W64)+1))</f>
        <v>2.255272505103306</v>
      </c>
      <c r="AB65">
        <f t="shared" si="3"/>
        <v>0</v>
      </c>
    </row>
    <row r="66" spans="23:28" x14ac:dyDescent="0.25">
      <c r="W66">
        <v>223</v>
      </c>
      <c r="X66">
        <v>223</v>
      </c>
      <c r="Y66">
        <v>44</v>
      </c>
      <c r="AA66" cm="1">
        <f t="array" ref="AA66">LOG(INDEX(Y$2:Y$158,$Z$3-ROW(W65)+1))</f>
        <v>2.2528530309798933</v>
      </c>
      <c r="AB66">
        <f t="shared" si="3"/>
        <v>0</v>
      </c>
    </row>
    <row r="67" spans="23:28" x14ac:dyDescent="0.25">
      <c r="W67">
        <v>231</v>
      </c>
      <c r="X67">
        <v>231</v>
      </c>
      <c r="Y67">
        <v>48</v>
      </c>
      <c r="AA67" cm="1">
        <f t="array" ref="AA67">LOG(INDEX(Y$2:Y$158,$Z$3-ROW(W66)+1))</f>
        <v>2.2405492482825999</v>
      </c>
      <c r="AB67">
        <f t="shared" ref="AB67:AB130" si="4">IF(Y67&lt;$Z$4,0,(Y67/$Z$4)^$Z$6)</f>
        <v>0</v>
      </c>
    </row>
    <row r="68" spans="23:28" x14ac:dyDescent="0.25">
      <c r="W68">
        <v>238</v>
      </c>
      <c r="X68">
        <v>238</v>
      </c>
      <c r="Y68">
        <v>56</v>
      </c>
      <c r="AA68" cm="1">
        <f t="array" ref="AA68">LOG(INDEX(Y$2:Y$158,$Z$3-ROW(W67)+1))</f>
        <v>2.2253092817258628</v>
      </c>
      <c r="AB68">
        <f t="shared" si="4"/>
        <v>0</v>
      </c>
    </row>
    <row r="69" spans="23:28" x14ac:dyDescent="0.25">
      <c r="W69">
        <v>275</v>
      </c>
      <c r="X69">
        <v>275</v>
      </c>
      <c r="Y69">
        <v>60</v>
      </c>
      <c r="AA69" cm="1">
        <f t="array" ref="AA69">LOG(INDEX(Y$2:Y$158,$Z$3-ROW(W68)+1))</f>
        <v>2.1931245983544616</v>
      </c>
      <c r="AB69">
        <f t="shared" si="4"/>
        <v>0</v>
      </c>
    </row>
    <row r="70" spans="23:28" x14ac:dyDescent="0.25">
      <c r="W70">
        <v>189</v>
      </c>
      <c r="X70">
        <v>189</v>
      </c>
      <c r="Y70">
        <v>61</v>
      </c>
      <c r="AA70" cm="1">
        <f t="array" ref="AA70">LOG(INDEX(Y$2:Y$158,$Z$3-ROW(W69)+1))</f>
        <v>2.1875207208364631</v>
      </c>
      <c r="AB70">
        <f t="shared" si="4"/>
        <v>0</v>
      </c>
    </row>
    <row r="71" spans="23:28" x14ac:dyDescent="0.25">
      <c r="W71">
        <v>230</v>
      </c>
      <c r="X71">
        <v>230</v>
      </c>
      <c r="Y71">
        <v>68</v>
      </c>
      <c r="AA71" cm="1">
        <f t="array" ref="AA71">LOG(INDEX(Y$2:Y$158,$Z$3-ROW(W70)+1))</f>
        <v>2.173186268412274</v>
      </c>
      <c r="AB71">
        <f t="shared" si="4"/>
        <v>0</v>
      </c>
    </row>
    <row r="72" spans="23:28" x14ac:dyDescent="0.25">
      <c r="W72">
        <v>188</v>
      </c>
      <c r="X72">
        <v>188</v>
      </c>
      <c r="Y72">
        <v>69</v>
      </c>
      <c r="AA72" cm="1">
        <f t="array" ref="AA72">LOG(INDEX(Y$2:Y$158,$Z$3-ROW(W71)+1))</f>
        <v>2.1583624920952498</v>
      </c>
      <c r="AB72">
        <f t="shared" si="4"/>
        <v>0</v>
      </c>
    </row>
    <row r="73" spans="23:28" x14ac:dyDescent="0.25">
      <c r="W73">
        <v>200</v>
      </c>
      <c r="X73">
        <v>200</v>
      </c>
      <c r="Y73">
        <v>70</v>
      </c>
      <c r="AA73" cm="1">
        <f t="array" ref="AA73">LOG(INDEX(Y$2:Y$158,$Z$3-ROW(W72)+1))</f>
        <v>2.1461280356782382</v>
      </c>
      <c r="AB73">
        <f t="shared" si="4"/>
        <v>0</v>
      </c>
    </row>
    <row r="74" spans="23:28" x14ac:dyDescent="0.25">
      <c r="W74">
        <v>182</v>
      </c>
      <c r="X74">
        <v>182</v>
      </c>
      <c r="Y74">
        <v>70</v>
      </c>
      <c r="AA74" cm="1">
        <f t="array" ref="AA74">LOG(INDEX(Y$2:Y$158,$Z$3-ROW(W73)+1))</f>
        <v>2.1335389083702174</v>
      </c>
      <c r="AB74">
        <f t="shared" si="4"/>
        <v>0</v>
      </c>
    </row>
    <row r="75" spans="23:28" x14ac:dyDescent="0.25">
      <c r="W75">
        <v>156</v>
      </c>
      <c r="X75">
        <v>156</v>
      </c>
      <c r="Y75">
        <v>70</v>
      </c>
      <c r="AA75" cm="1">
        <f t="array" ref="AA75">LOG(INDEX(Y$2:Y$158,$Z$3-ROW(W74)+1))</f>
        <v>2.1072099696478683</v>
      </c>
      <c r="AB75">
        <f t="shared" si="4"/>
        <v>0</v>
      </c>
    </row>
    <row r="76" spans="23:28" x14ac:dyDescent="0.25">
      <c r="W76">
        <v>168</v>
      </c>
      <c r="X76">
        <v>168</v>
      </c>
      <c r="Y76">
        <v>79</v>
      </c>
      <c r="AA76" cm="1">
        <f t="array" ref="AA76">LOG(INDEX(Y$2:Y$158,$Z$3-ROW(W75)+1))</f>
        <v>2.1038037209559568</v>
      </c>
      <c r="AB76">
        <f t="shared" si="4"/>
        <v>0</v>
      </c>
    </row>
    <row r="77" spans="23:28" x14ac:dyDescent="0.25">
      <c r="W77">
        <v>144</v>
      </c>
      <c r="X77">
        <v>144</v>
      </c>
      <c r="Y77">
        <v>86</v>
      </c>
      <c r="AA77" cm="1">
        <f t="array" ref="AA77">LOG(INDEX(Y$2:Y$158,$Z$3-ROW(W76)+1))</f>
        <v>2.0606978403536118</v>
      </c>
      <c r="AB77">
        <f t="shared" si="4"/>
        <v>0</v>
      </c>
    </row>
    <row r="78" spans="23:28" x14ac:dyDescent="0.25">
      <c r="W78">
        <v>154</v>
      </c>
      <c r="X78">
        <v>154</v>
      </c>
      <c r="Y78">
        <v>87</v>
      </c>
      <c r="AA78" cm="1">
        <f t="array" ref="AA78">LOG(INDEX(Y$2:Y$158,$Z$3-ROW(W77)+1))</f>
        <v>2.0253058652647704</v>
      </c>
      <c r="AB78">
        <f t="shared" si="4"/>
        <v>0</v>
      </c>
    </row>
    <row r="79" spans="23:28" x14ac:dyDescent="0.25">
      <c r="W79">
        <v>174</v>
      </c>
      <c r="X79">
        <v>174</v>
      </c>
      <c r="Y79">
        <v>90</v>
      </c>
      <c r="AA79" cm="1">
        <f t="array" ref="AA79">LOG(INDEX(Y$2:Y$158,$Z$3-ROW(W78)+1))</f>
        <v>1.9956351945975499</v>
      </c>
      <c r="AB79">
        <f t="shared" si="4"/>
        <v>0</v>
      </c>
    </row>
    <row r="80" spans="23:28" x14ac:dyDescent="0.25">
      <c r="W80">
        <v>136</v>
      </c>
      <c r="X80">
        <v>136</v>
      </c>
      <c r="Y80">
        <v>96</v>
      </c>
      <c r="AA80" cm="1">
        <f t="array" ref="AA80">LOG(INDEX(Y$2:Y$158,$Z$3-ROW(W79)+1))</f>
        <v>1.9822712330395684</v>
      </c>
      <c r="AB80">
        <f t="shared" si="4"/>
        <v>0</v>
      </c>
    </row>
    <row r="81" spans="23:28" x14ac:dyDescent="0.25">
      <c r="W81">
        <v>149</v>
      </c>
      <c r="X81">
        <v>149</v>
      </c>
      <c r="Y81">
        <v>99</v>
      </c>
      <c r="AA81" cm="1">
        <f t="array" ref="AA81">LOG(INDEX(Y$2:Y$158,$Z$3-ROW(W80)+1))</f>
        <v>1.954242509439325</v>
      </c>
      <c r="AB81">
        <f t="shared" si="4"/>
        <v>0</v>
      </c>
    </row>
    <row r="82" spans="23:28" x14ac:dyDescent="0.25">
      <c r="W82">
        <v>96</v>
      </c>
      <c r="X82">
        <v>96</v>
      </c>
      <c r="Y82">
        <v>106</v>
      </c>
      <c r="AA82" cm="1">
        <f t="array" ref="AA82">LOG(INDEX(Y$2:Y$158,$Z$3-ROW(W81)+1))</f>
        <v>1.9395192526186185</v>
      </c>
      <c r="AB82">
        <f t="shared" si="4"/>
        <v>0</v>
      </c>
    </row>
    <row r="83" spans="23:28" x14ac:dyDescent="0.25">
      <c r="W83">
        <v>127</v>
      </c>
      <c r="X83">
        <v>127</v>
      </c>
      <c r="Y83">
        <v>115</v>
      </c>
      <c r="AA83" cm="1">
        <f t="array" ref="AA83">LOG(INDEX(Y$2:Y$158,$Z$3-ROW(W82)+1))</f>
        <v>1.9344984512435677</v>
      </c>
      <c r="AB83">
        <f t="shared" si="4"/>
        <v>0</v>
      </c>
    </row>
    <row r="84" spans="23:28" x14ac:dyDescent="0.25">
      <c r="W84">
        <v>115</v>
      </c>
      <c r="X84">
        <v>115</v>
      </c>
      <c r="Y84">
        <v>127</v>
      </c>
      <c r="AA84" cm="1">
        <f t="array" ref="AA84">LOG(INDEX(Y$2:Y$158,$Z$3-ROW(W83)+1))</f>
        <v>1.8976270912904414</v>
      </c>
      <c r="AB84">
        <f t="shared" si="4"/>
        <v>0</v>
      </c>
    </row>
    <row r="85" spans="23:28" x14ac:dyDescent="0.25">
      <c r="W85">
        <v>99</v>
      </c>
      <c r="X85">
        <v>99</v>
      </c>
      <c r="Y85">
        <v>128</v>
      </c>
      <c r="AA85" cm="1">
        <f t="array" ref="AA85">LOG(INDEX(Y$2:Y$158,$Z$3-ROW(W84)+1))</f>
        <v>1.8450980400142569</v>
      </c>
      <c r="AB85">
        <f t="shared" si="4"/>
        <v>0</v>
      </c>
    </row>
    <row r="86" spans="23:28" x14ac:dyDescent="0.25">
      <c r="W86">
        <v>106</v>
      </c>
      <c r="X86">
        <v>106</v>
      </c>
      <c r="Y86">
        <v>136</v>
      </c>
      <c r="AA86" cm="1">
        <f t="array" ref="AA86">LOG(INDEX(Y$2:Y$158,$Z$3-ROW(W85)+1))</f>
        <v>1.8450980400142569</v>
      </c>
      <c r="AB86">
        <f t="shared" si="4"/>
        <v>0</v>
      </c>
    </row>
    <row r="87" spans="23:28" x14ac:dyDescent="0.25">
      <c r="W87">
        <v>87</v>
      </c>
      <c r="X87">
        <v>87</v>
      </c>
      <c r="Y87">
        <v>140</v>
      </c>
      <c r="AA87" cm="1">
        <f t="array" ref="AA87">LOG(INDEX(Y$2:Y$158,$Z$3-ROW(W86)+1))</f>
        <v>1.8450980400142569</v>
      </c>
      <c r="AB87">
        <f t="shared" si="4"/>
        <v>0</v>
      </c>
    </row>
    <row r="88" spans="23:28" x14ac:dyDescent="0.25">
      <c r="W88">
        <v>70</v>
      </c>
      <c r="X88">
        <v>70</v>
      </c>
      <c r="Y88">
        <v>144</v>
      </c>
      <c r="AA88" cm="1">
        <f t="array" ref="AA88">LOG(INDEX(Y$2:Y$158,$Z$3-ROW(W87)+1))</f>
        <v>1.8388490907372552</v>
      </c>
      <c r="AB88">
        <f t="shared" si="4"/>
        <v>0</v>
      </c>
    </row>
    <row r="89" spans="23:28" x14ac:dyDescent="0.25">
      <c r="W89">
        <v>70</v>
      </c>
      <c r="X89">
        <v>70</v>
      </c>
      <c r="Y89">
        <v>149</v>
      </c>
      <c r="AA89" cm="1">
        <f t="array" ref="AA89">LOG(INDEX(Y$2:Y$158,$Z$3-ROW(W88)+1))</f>
        <v>1.8325089127062364</v>
      </c>
      <c r="AB89">
        <f t="shared" si="4"/>
        <v>0</v>
      </c>
    </row>
    <row r="90" spans="23:28" x14ac:dyDescent="0.25">
      <c r="W90">
        <v>68</v>
      </c>
      <c r="X90">
        <v>68</v>
      </c>
      <c r="Y90">
        <v>154</v>
      </c>
      <c r="AA90" cm="1">
        <f t="array" ref="AA90">LOG(INDEX(Y$2:Y$158,$Z$3-ROW(W89)+1))</f>
        <v>1.7853298350107671</v>
      </c>
      <c r="AB90">
        <f t="shared" si="4"/>
        <v>0</v>
      </c>
    </row>
    <row r="91" spans="23:28" x14ac:dyDescent="0.25">
      <c r="W91">
        <v>79</v>
      </c>
      <c r="X91">
        <v>79</v>
      </c>
      <c r="Y91">
        <v>156</v>
      </c>
      <c r="AA91" cm="1">
        <f t="array" ref="AA91">LOG(INDEX(Y$2:Y$158,$Z$3-ROW(W90)+1))</f>
        <v>1.7781512503836436</v>
      </c>
      <c r="AB91">
        <f t="shared" si="4"/>
        <v>0</v>
      </c>
    </row>
    <row r="92" spans="23:28" x14ac:dyDescent="0.25">
      <c r="W92">
        <v>60</v>
      </c>
      <c r="X92">
        <v>60</v>
      </c>
      <c r="Y92">
        <v>168</v>
      </c>
      <c r="AA92" cm="1">
        <f t="array" ref="AA92">LOG(INDEX(Y$2:Y$158,$Z$3-ROW(W91)+1))</f>
        <v>1.7481880270062005</v>
      </c>
      <c r="AB92">
        <f t="shared" si="4"/>
        <v>0</v>
      </c>
    </row>
    <row r="93" spans="23:28" x14ac:dyDescent="0.25">
      <c r="W93">
        <v>70</v>
      </c>
      <c r="X93">
        <v>70</v>
      </c>
      <c r="Y93">
        <v>174</v>
      </c>
      <c r="AA93" cm="1">
        <f t="array" ref="AA93">LOG(INDEX(Y$2:Y$158,$Z$3-ROW(W92)+1))</f>
        <v>1.6812412373755872</v>
      </c>
      <c r="AB93">
        <f t="shared" si="4"/>
        <v>0</v>
      </c>
    </row>
    <row r="94" spans="23:28" x14ac:dyDescent="0.25">
      <c r="W94">
        <v>48</v>
      </c>
      <c r="X94">
        <v>48</v>
      </c>
      <c r="Y94">
        <v>179</v>
      </c>
      <c r="AA94" cm="1">
        <f t="array" ref="AA94">LOG(INDEX(Y$2:Y$158,$Z$3-ROW(W93)+1))</f>
        <v>1.6434526764861874</v>
      </c>
      <c r="AB94">
        <f t="shared" si="4"/>
        <v>0</v>
      </c>
    </row>
    <row r="95" spans="23:28" x14ac:dyDescent="0.25">
      <c r="W95">
        <v>43</v>
      </c>
      <c r="X95">
        <v>43</v>
      </c>
      <c r="Y95">
        <v>180</v>
      </c>
      <c r="AA95" cm="1">
        <f t="array" ref="AA95">LOG(INDEX(Y$2:Y$158,$Z$3-ROW(W94)+1))</f>
        <v>1.6334684555795864</v>
      </c>
      <c r="AB95">
        <f t="shared" si="4"/>
        <v>0</v>
      </c>
    </row>
    <row r="96" spans="23:28" x14ac:dyDescent="0.25">
      <c r="W96">
        <v>41</v>
      </c>
      <c r="X96">
        <v>41</v>
      </c>
      <c r="Y96">
        <v>182</v>
      </c>
      <c r="AA96" cm="1">
        <f t="array" ref="AA96">LOG(INDEX(Y$2:Y$158,$Z$3-ROW(W95)+1))</f>
        <v>1.6334684555795864</v>
      </c>
      <c r="AB96">
        <f t="shared" si="4"/>
        <v>0</v>
      </c>
    </row>
    <row r="97" spans="23:28" x14ac:dyDescent="0.25">
      <c r="W97">
        <v>61</v>
      </c>
      <c r="X97">
        <v>61</v>
      </c>
      <c r="Y97">
        <v>188</v>
      </c>
      <c r="AA97" cm="1">
        <f t="array" ref="AA97">LOG(INDEX(Y$2:Y$158,$Z$3-ROW(W96)+1))</f>
        <v>1.6127838567197355</v>
      </c>
      <c r="AB97">
        <f t="shared" si="4"/>
        <v>0</v>
      </c>
    </row>
    <row r="98" spans="23:28" x14ac:dyDescent="0.25">
      <c r="W98">
        <v>56</v>
      </c>
      <c r="X98">
        <v>56</v>
      </c>
      <c r="Y98">
        <v>189</v>
      </c>
      <c r="AA98" cm="1">
        <f t="array" ref="AA98">LOG(INDEX(Y$2:Y$158,$Z$3-ROW(W97)+1))</f>
        <v>1.6020599913279623</v>
      </c>
      <c r="AB98">
        <f t="shared" si="4"/>
        <v>0</v>
      </c>
    </row>
    <row r="99" spans="23:28" x14ac:dyDescent="0.25">
      <c r="W99">
        <v>44</v>
      </c>
      <c r="X99">
        <v>44</v>
      </c>
      <c r="Y99">
        <v>200</v>
      </c>
      <c r="AA99" cm="1">
        <f t="array" ref="AA99">LOG(INDEX(Y$2:Y$158,$Z$3-ROW(W98)+1))</f>
        <v>1.6020599913279623</v>
      </c>
      <c r="AB99">
        <f t="shared" si="4"/>
        <v>0</v>
      </c>
    </row>
    <row r="100" spans="23:28" x14ac:dyDescent="0.25">
      <c r="W100">
        <v>43</v>
      </c>
      <c r="X100">
        <v>43</v>
      </c>
      <c r="Y100">
        <v>203</v>
      </c>
      <c r="AA100" cm="1">
        <f t="array" ref="AA100">LOG(INDEX(Y$2:Y$158,$Z$3-ROW(W99)+1))</f>
        <v>1.5910646070264991</v>
      </c>
      <c r="AB100">
        <f t="shared" si="4"/>
        <v>0</v>
      </c>
    </row>
    <row r="101" spans="23:28" x14ac:dyDescent="0.25">
      <c r="W101">
        <v>40</v>
      </c>
      <c r="X101">
        <v>40</v>
      </c>
      <c r="Y101">
        <v>223</v>
      </c>
      <c r="AA101" cm="1">
        <f t="array" ref="AA101">LOG(INDEX(Y$2:Y$158,$Z$3-ROW(W100)+1))</f>
        <v>1.568201724066995</v>
      </c>
      <c r="AB101">
        <f t="shared" si="4"/>
        <v>0</v>
      </c>
    </row>
    <row r="102" spans="23:28" x14ac:dyDescent="0.25">
      <c r="W102">
        <v>31</v>
      </c>
      <c r="X102">
        <v>31</v>
      </c>
      <c r="Y102">
        <v>230</v>
      </c>
      <c r="AA102" cm="1">
        <f t="array" ref="AA102">LOG(INDEX(Y$2:Y$158,$Z$3-ROW(W101)+1))</f>
        <v>1.4913616938342726</v>
      </c>
      <c r="AB102">
        <f t="shared" si="4"/>
        <v>0</v>
      </c>
    </row>
    <row r="103" spans="23:28" x14ac:dyDescent="0.25">
      <c r="W103">
        <v>28</v>
      </c>
      <c r="X103">
        <v>28</v>
      </c>
      <c r="Y103">
        <v>231</v>
      </c>
      <c r="AA103" cm="1">
        <f t="array" ref="AA103">LOG(INDEX(Y$2:Y$158,$Z$3-ROW(W102)+1))</f>
        <v>1.4771212547196624</v>
      </c>
      <c r="AB103">
        <f t="shared" si="4"/>
        <v>0</v>
      </c>
    </row>
    <row r="104" spans="23:28" x14ac:dyDescent="0.25">
      <c r="W104">
        <v>28</v>
      </c>
      <c r="X104">
        <v>28</v>
      </c>
      <c r="Y104">
        <v>235</v>
      </c>
      <c r="AA104" cm="1">
        <f t="array" ref="AA104">LOG(INDEX(Y$2:Y$158,$Z$3-ROW(W103)+1))</f>
        <v>1.4623979978989561</v>
      </c>
      <c r="AB104">
        <f t="shared" si="4"/>
        <v>0</v>
      </c>
    </row>
    <row r="105" spans="23:28" x14ac:dyDescent="0.25">
      <c r="W105">
        <v>37</v>
      </c>
      <c r="X105">
        <v>37</v>
      </c>
      <c r="Y105">
        <v>235</v>
      </c>
      <c r="AA105" cm="1">
        <f t="array" ref="AA105">LOG(INDEX(Y$2:Y$158,$Z$3-ROW(W104)+1))</f>
        <v>1.4471580313422192</v>
      </c>
      <c r="AB105">
        <f t="shared" si="4"/>
        <v>0</v>
      </c>
    </row>
    <row r="106" spans="23:28" x14ac:dyDescent="0.25">
      <c r="W106">
        <v>26</v>
      </c>
      <c r="X106">
        <v>26</v>
      </c>
      <c r="Y106">
        <v>238</v>
      </c>
      <c r="AA106" cm="1">
        <f t="array" ref="AA106">LOG(INDEX(Y$2:Y$158,$Z$3-ROW(W105)+1))</f>
        <v>1.4471580313422192</v>
      </c>
      <c r="AB106">
        <f t="shared" si="4"/>
        <v>0</v>
      </c>
    </row>
    <row r="107" spans="23:28" x14ac:dyDescent="0.25">
      <c r="W107">
        <v>39</v>
      </c>
      <c r="X107">
        <v>39</v>
      </c>
      <c r="Y107">
        <v>241</v>
      </c>
      <c r="AA107" cm="1">
        <f t="array" ref="AA107">LOG(INDEX(Y$2:Y$158,$Z$3-ROW(W106)+1))</f>
        <v>1.4471580313422192</v>
      </c>
      <c r="AB107">
        <f t="shared" si="4"/>
        <v>0</v>
      </c>
    </row>
    <row r="108" spans="23:28" x14ac:dyDescent="0.25">
      <c r="W108">
        <v>30</v>
      </c>
      <c r="X108">
        <v>30</v>
      </c>
      <c r="Y108">
        <v>241</v>
      </c>
      <c r="AA108" cm="1">
        <f t="array" ref="AA108">LOG(INDEX(Y$2:Y$158,$Z$3-ROW(W107)+1))</f>
        <v>1.4313637641589874</v>
      </c>
      <c r="AB108">
        <f t="shared" si="4"/>
        <v>0</v>
      </c>
    </row>
    <row r="109" spans="23:28" x14ac:dyDescent="0.25">
      <c r="W109">
        <v>24</v>
      </c>
      <c r="X109">
        <v>24</v>
      </c>
      <c r="Y109">
        <v>242</v>
      </c>
      <c r="AA109" cm="1">
        <f t="array" ref="AA109">LOG(INDEX(Y$2:Y$158,$Z$3-ROW(W108)+1))</f>
        <v>1.414973347970818</v>
      </c>
      <c r="AB109">
        <f t="shared" si="4"/>
        <v>0</v>
      </c>
    </row>
    <row r="110" spans="23:28" x14ac:dyDescent="0.25">
      <c r="W110">
        <v>27</v>
      </c>
      <c r="X110">
        <v>27</v>
      </c>
      <c r="Y110">
        <v>249</v>
      </c>
      <c r="AA110" cm="1">
        <f t="array" ref="AA110">LOG(INDEX(Y$2:Y$158,$Z$3-ROW(W109)+1))</f>
        <v>1.3979400086720377</v>
      </c>
      <c r="AB110">
        <f t="shared" si="4"/>
        <v>0</v>
      </c>
    </row>
    <row r="111" spans="23:28" x14ac:dyDescent="0.25">
      <c r="W111">
        <v>28</v>
      </c>
      <c r="X111">
        <v>28</v>
      </c>
      <c r="Y111">
        <v>254</v>
      </c>
      <c r="AA111" cm="1">
        <f t="array" ref="AA111">LOG(INDEX(Y$2:Y$158,$Z$3-ROW(W110)+1))</f>
        <v>1.3979400086720377</v>
      </c>
      <c r="AB111">
        <f t="shared" si="4"/>
        <v>0</v>
      </c>
    </row>
    <row r="112" spans="23:28" x14ac:dyDescent="0.25">
      <c r="W112">
        <v>25</v>
      </c>
      <c r="X112">
        <v>25</v>
      </c>
      <c r="Y112">
        <v>260</v>
      </c>
      <c r="AA112" cm="1">
        <f t="array" ref="AA112">LOG(INDEX(Y$2:Y$158,$Z$3-ROW(W111)+1))</f>
        <v>1.3802112417116059</v>
      </c>
      <c r="AB112">
        <f t="shared" si="4"/>
        <v>0</v>
      </c>
    </row>
    <row r="113" spans="23:28" x14ac:dyDescent="0.25">
      <c r="W113">
        <v>19</v>
      </c>
      <c r="X113">
        <v>19</v>
      </c>
      <c r="Y113">
        <v>263</v>
      </c>
      <c r="AA113" cm="1">
        <f t="array" ref="AA113">LOG(INDEX(Y$2:Y$158,$Z$3-ROW(W112)+1))</f>
        <v>1.3222192947339193</v>
      </c>
      <c r="AB113">
        <f t="shared" si="4"/>
        <v>0</v>
      </c>
    </row>
    <row r="114" spans="23:28" x14ac:dyDescent="0.25">
      <c r="W114">
        <v>17</v>
      </c>
      <c r="X114">
        <v>17</v>
      </c>
      <c r="Y114">
        <v>263</v>
      </c>
      <c r="AA114" cm="1">
        <f t="array" ref="AA114">LOG(INDEX(Y$2:Y$158,$Z$3-ROW(W113)+1))</f>
        <v>1.3010299956639813</v>
      </c>
      <c r="AB114">
        <f t="shared" si="4"/>
        <v>0</v>
      </c>
    </row>
    <row r="115" spans="23:28" x14ac:dyDescent="0.25">
      <c r="W115">
        <v>29</v>
      </c>
      <c r="X115">
        <v>29</v>
      </c>
      <c r="Y115">
        <v>266</v>
      </c>
      <c r="AA115" cm="1">
        <f t="array" ref="AA115">LOG(INDEX(Y$2:Y$158,$Z$3-ROW(W114)+1))</f>
        <v>1.2787536009528289</v>
      </c>
      <c r="AB115">
        <f t="shared" si="4"/>
        <v>0</v>
      </c>
    </row>
    <row r="116" spans="23:28" x14ac:dyDescent="0.25">
      <c r="W116">
        <v>19</v>
      </c>
      <c r="X116">
        <v>19</v>
      </c>
      <c r="Y116">
        <v>271</v>
      </c>
      <c r="AA116" cm="1">
        <f t="array" ref="AA116">LOG(INDEX(Y$2:Y$158,$Z$3-ROW(W115)+1))</f>
        <v>1.2787536009528289</v>
      </c>
      <c r="AB116">
        <f t="shared" si="4"/>
        <v>0</v>
      </c>
    </row>
    <row r="117" spans="23:28" x14ac:dyDescent="0.25">
      <c r="W117">
        <v>13</v>
      </c>
      <c r="X117">
        <v>13</v>
      </c>
      <c r="Y117">
        <v>272</v>
      </c>
      <c r="AA117" cm="1">
        <f t="array" ref="AA117">LOG(INDEX(Y$2:Y$158,$Z$3-ROW(W116)+1))</f>
        <v>1.2304489213782739</v>
      </c>
      <c r="AB117">
        <f t="shared" si="4"/>
        <v>0</v>
      </c>
    </row>
    <row r="118" spans="23:28" x14ac:dyDescent="0.25">
      <c r="W118">
        <v>14</v>
      </c>
      <c r="X118">
        <v>14</v>
      </c>
      <c r="Y118">
        <v>274</v>
      </c>
      <c r="AA118" cm="1">
        <f t="array" ref="AA118">LOG(INDEX(Y$2:Y$158,$Z$3-ROW(W117)+1))</f>
        <v>1.2304489213782739</v>
      </c>
      <c r="AB118">
        <f t="shared" si="4"/>
        <v>0</v>
      </c>
    </row>
    <row r="119" spans="23:28" x14ac:dyDescent="0.25">
      <c r="W119">
        <v>21</v>
      </c>
      <c r="X119">
        <v>21</v>
      </c>
      <c r="Y119">
        <v>274</v>
      </c>
      <c r="AA119" cm="1">
        <f t="array" ref="AA119">LOG(INDEX(Y$2:Y$158,$Z$3-ROW(W118)+1))</f>
        <v>1.2304489213782739</v>
      </c>
      <c r="AB119">
        <f t="shared" si="4"/>
        <v>0</v>
      </c>
    </row>
    <row r="120" spans="23:28" x14ac:dyDescent="0.25">
      <c r="W120">
        <v>20</v>
      </c>
      <c r="X120">
        <v>20</v>
      </c>
      <c r="Y120">
        <v>274</v>
      </c>
      <c r="AA120" cm="1">
        <f t="array" ref="AA120">LOG(INDEX(Y$2:Y$158,$Z$3-ROW(W119)+1))</f>
        <v>1.146128035678238</v>
      </c>
      <c r="AB120">
        <f t="shared" si="4"/>
        <v>0</v>
      </c>
    </row>
    <row r="121" spans="23:28" x14ac:dyDescent="0.25">
      <c r="W121">
        <v>17</v>
      </c>
      <c r="X121">
        <v>17</v>
      </c>
      <c r="Y121">
        <v>275</v>
      </c>
      <c r="AA121" cm="1">
        <f t="array" ref="AA121">LOG(INDEX(Y$2:Y$158,$Z$3-ROW(W120)+1))</f>
        <v>1.146128035678238</v>
      </c>
      <c r="AB121">
        <f t="shared" si="4"/>
        <v>0</v>
      </c>
    </row>
    <row r="122" spans="23:28" x14ac:dyDescent="0.25">
      <c r="W122">
        <v>17</v>
      </c>
      <c r="X122">
        <v>17</v>
      </c>
      <c r="Y122">
        <v>276</v>
      </c>
      <c r="AA122" cm="1">
        <f t="array" ref="AA122">LOG(INDEX(Y$2:Y$158,$Z$3-ROW(W121)+1))</f>
        <v>1.1139433523068367</v>
      </c>
      <c r="AB122">
        <f t="shared" si="4"/>
        <v>0</v>
      </c>
    </row>
    <row r="123" spans="23:28" x14ac:dyDescent="0.25">
      <c r="W123">
        <v>14</v>
      </c>
      <c r="X123">
        <v>14</v>
      </c>
      <c r="Y123">
        <v>276</v>
      </c>
      <c r="AA123" cm="1">
        <f t="array" ref="AA123">LOG(INDEX(Y$2:Y$158,$Z$3-ROW(W122)+1))</f>
        <v>1</v>
      </c>
      <c r="AB123">
        <f t="shared" si="4"/>
        <v>0</v>
      </c>
    </row>
    <row r="124" spans="23:28" x14ac:dyDescent="0.25">
      <c r="W124">
        <v>6</v>
      </c>
      <c r="X124">
        <v>6</v>
      </c>
      <c r="Y124">
        <v>280</v>
      </c>
      <c r="AA124" cm="1">
        <f t="array" ref="AA124">LOG(INDEX(Y$2:Y$158,$Z$3-ROW(W123)+1))</f>
        <v>1</v>
      </c>
      <c r="AB124">
        <f t="shared" si="4"/>
        <v>0</v>
      </c>
    </row>
    <row r="125" spans="23:28" x14ac:dyDescent="0.25">
      <c r="W125">
        <v>10</v>
      </c>
      <c r="X125">
        <v>10</v>
      </c>
      <c r="Y125">
        <v>282</v>
      </c>
      <c r="AA125" cm="1">
        <f t="array" ref="AA125">LOG(INDEX(Y$2:Y$158,$Z$3-ROW(W124)+1))</f>
        <v>1</v>
      </c>
      <c r="AB125">
        <f t="shared" si="4"/>
        <v>0</v>
      </c>
    </row>
    <row r="126" spans="23:28" x14ac:dyDescent="0.25">
      <c r="W126">
        <v>8</v>
      </c>
      <c r="X126">
        <v>8</v>
      </c>
      <c r="Y126">
        <v>290</v>
      </c>
      <c r="AA126" cm="1">
        <f t="array" ref="AA126">LOG(INDEX(Y$2:Y$158,$Z$3-ROW(W125)+1))</f>
        <v>0.90308998699194354</v>
      </c>
      <c r="AB126">
        <f t="shared" si="4"/>
        <v>0</v>
      </c>
    </row>
    <row r="127" spans="23:28" x14ac:dyDescent="0.25">
      <c r="W127">
        <v>8</v>
      </c>
      <c r="X127">
        <v>8</v>
      </c>
      <c r="Y127">
        <v>294</v>
      </c>
      <c r="AA127" cm="1">
        <f t="array" ref="AA127">LOG(INDEX(Y$2:Y$158,$Z$3-ROW(W126)+1))</f>
        <v>0.90308998699194354</v>
      </c>
      <c r="AB127">
        <f t="shared" si="4"/>
        <v>0</v>
      </c>
    </row>
    <row r="128" spans="23:28" x14ac:dyDescent="0.25">
      <c r="W128">
        <v>10</v>
      </c>
      <c r="X128">
        <v>10</v>
      </c>
      <c r="Y128">
        <v>302</v>
      </c>
      <c r="AA128" cm="1">
        <f t="array" ref="AA128">LOG(INDEX(Y$2:Y$158,$Z$3-ROW(W127)+1))</f>
        <v>0.90308998699194354</v>
      </c>
      <c r="AB128">
        <f t="shared" si="4"/>
        <v>0</v>
      </c>
    </row>
    <row r="129" spans="23:28" x14ac:dyDescent="0.25">
      <c r="W129">
        <v>8</v>
      </c>
      <c r="X129">
        <v>8</v>
      </c>
      <c r="Y129">
        <v>309</v>
      </c>
      <c r="AA129" cm="1">
        <f t="array" ref="AA129">LOG(INDEX(Y$2:Y$158,$Z$3-ROW(W128)+1))</f>
        <v>0.90308998699194354</v>
      </c>
      <c r="AB129">
        <f t="shared" si="4"/>
        <v>0</v>
      </c>
    </row>
    <row r="130" spans="23:28" x14ac:dyDescent="0.25">
      <c r="W130">
        <v>10</v>
      </c>
      <c r="X130">
        <v>10</v>
      </c>
      <c r="Y130">
        <v>309</v>
      </c>
      <c r="AA130" cm="1">
        <f t="array" ref="AA130">LOG(INDEX(Y$2:Y$158,$Z$3-ROW(W129)+1))</f>
        <v>0.90308998699194354</v>
      </c>
      <c r="AB130">
        <f t="shared" si="4"/>
        <v>0</v>
      </c>
    </row>
    <row r="131" spans="23:28" x14ac:dyDescent="0.25">
      <c r="W131">
        <v>8</v>
      </c>
      <c r="X131">
        <v>8</v>
      </c>
      <c r="Y131">
        <v>312</v>
      </c>
      <c r="AA131" cm="1">
        <f t="array" ref="AA131">LOG(INDEX(Y$2:Y$158,$Z$3-ROW(W130)+1))</f>
        <v>0.77815125038364363</v>
      </c>
      <c r="AB131">
        <f t="shared" ref="AB131:AB158" si="5">IF(Y131&lt;$Z$4,0,(Y131/$Z$4)^$Z$6)</f>
        <v>0</v>
      </c>
    </row>
    <row r="132" spans="23:28" x14ac:dyDescent="0.25">
      <c r="W132">
        <v>2</v>
      </c>
      <c r="X132">
        <v>2</v>
      </c>
      <c r="Y132">
        <v>313</v>
      </c>
      <c r="AA132" cm="1">
        <f t="array" ref="AA132">LOG(INDEX(Y$2:Y$158,$Z$3-ROW(W131)+1))</f>
        <v>0.77815125038364363</v>
      </c>
      <c r="AB132">
        <f t="shared" si="5"/>
        <v>0</v>
      </c>
    </row>
    <row r="133" spans="23:28" x14ac:dyDescent="0.25">
      <c r="W133">
        <v>4</v>
      </c>
      <c r="X133">
        <v>4</v>
      </c>
      <c r="Y133">
        <v>320</v>
      </c>
      <c r="AA133" cm="1">
        <f t="array" ref="AA133">LOG(INDEX(Y$2:Y$158,$Z$3-ROW(W132)+1))</f>
        <v>0.77815125038364363</v>
      </c>
      <c r="AB133">
        <f t="shared" si="5"/>
        <v>0</v>
      </c>
    </row>
    <row r="134" spans="23:28" x14ac:dyDescent="0.25">
      <c r="W134">
        <v>6</v>
      </c>
      <c r="X134">
        <v>6</v>
      </c>
      <c r="Y134">
        <v>323</v>
      </c>
      <c r="AA134" cm="1">
        <f t="array" ref="AA134">LOG(INDEX(Y$2:Y$158,$Z$3-ROW(W133)+1))</f>
        <v>0.69897000433601886</v>
      </c>
      <c r="AB134">
        <f t="shared" si="5"/>
        <v>0</v>
      </c>
    </row>
    <row r="135" spans="23:28" x14ac:dyDescent="0.25">
      <c r="W135">
        <v>6</v>
      </c>
      <c r="X135">
        <v>6</v>
      </c>
      <c r="Y135">
        <v>349</v>
      </c>
      <c r="AA135" cm="1">
        <f t="array" ref="AA135">LOG(INDEX(Y$2:Y$158,$Z$3-ROW(W134)+1))</f>
        <v>0.6020599913279624</v>
      </c>
      <c r="AB135">
        <f t="shared" si="5"/>
        <v>0</v>
      </c>
    </row>
    <row r="136" spans="23:28" x14ac:dyDescent="0.25">
      <c r="W136">
        <v>3</v>
      </c>
      <c r="X136">
        <v>3</v>
      </c>
      <c r="Y136">
        <v>356</v>
      </c>
      <c r="AA136" cm="1">
        <f t="array" ref="AA136">LOG(INDEX(Y$2:Y$158,$Z$3-ROW(W135)+1))</f>
        <v>0.6020599913279624</v>
      </c>
      <c r="AB136">
        <f t="shared" si="5"/>
        <v>0</v>
      </c>
    </row>
    <row r="137" spans="23:28" x14ac:dyDescent="0.25">
      <c r="W137">
        <v>4</v>
      </c>
      <c r="X137">
        <v>4</v>
      </c>
      <c r="Y137">
        <v>359</v>
      </c>
      <c r="AA137" cm="1">
        <f t="array" ref="AA137">LOG(INDEX(Y$2:Y$158,$Z$3-ROW(W136)+1))</f>
        <v>0.6020599913279624</v>
      </c>
      <c r="AB137">
        <f t="shared" si="5"/>
        <v>0</v>
      </c>
    </row>
    <row r="138" spans="23:28" x14ac:dyDescent="0.25">
      <c r="W138">
        <v>1</v>
      </c>
      <c r="X138">
        <v>1</v>
      </c>
      <c r="Y138">
        <v>368</v>
      </c>
      <c r="AA138" cm="1">
        <f t="array" ref="AA138">LOG(INDEX(Y$2:Y$158,$Z$3-ROW(W137)+1))</f>
        <v>0.6020599913279624</v>
      </c>
      <c r="AB138">
        <f t="shared" si="5"/>
        <v>0</v>
      </c>
    </row>
    <row r="139" spans="23:28" x14ac:dyDescent="0.25">
      <c r="W139">
        <v>2</v>
      </c>
      <c r="X139">
        <v>2</v>
      </c>
      <c r="Y139">
        <v>369</v>
      </c>
      <c r="AA139" cm="1">
        <f t="array" ref="AA139">LOG(INDEX(Y$2:Y$158,$Z$3-ROW(W138)+1))</f>
        <v>0.47712125471966244</v>
      </c>
      <c r="AB139">
        <f t="shared" si="5"/>
        <v>0</v>
      </c>
    </row>
    <row r="140" spans="23:28" x14ac:dyDescent="0.25">
      <c r="W140">
        <v>3</v>
      </c>
      <c r="X140">
        <v>3</v>
      </c>
      <c r="Y140">
        <v>369</v>
      </c>
      <c r="AA140" cm="1">
        <f t="array" ref="AA140">LOG(INDEX(Y$2:Y$158,$Z$3-ROW(W139)+1))</f>
        <v>0.47712125471966244</v>
      </c>
      <c r="AB140">
        <f t="shared" si="5"/>
        <v>0</v>
      </c>
    </row>
    <row r="141" spans="23:28" x14ac:dyDescent="0.25">
      <c r="W141">
        <v>5</v>
      </c>
      <c r="X141">
        <v>5</v>
      </c>
      <c r="Y141">
        <v>373</v>
      </c>
      <c r="AA141" cm="1">
        <f t="array" ref="AA141">LOG(INDEX(Y$2:Y$158,$Z$3-ROW(W140)+1))</f>
        <v>0.47712125471966244</v>
      </c>
      <c r="AB141">
        <f t="shared" si="5"/>
        <v>0</v>
      </c>
    </row>
    <row r="142" spans="23:28" x14ac:dyDescent="0.25">
      <c r="W142">
        <v>4</v>
      </c>
      <c r="X142">
        <v>4</v>
      </c>
      <c r="Y142">
        <v>381</v>
      </c>
      <c r="AA142" cm="1">
        <f t="array" ref="AA142">LOG(INDEX(Y$2:Y$158,$Z$3-ROW(W141)+1))</f>
        <v>0.47712125471966244</v>
      </c>
      <c r="AB142">
        <f t="shared" si="5"/>
        <v>0</v>
      </c>
    </row>
    <row r="143" spans="23:28" x14ac:dyDescent="0.25">
      <c r="W143">
        <v>2</v>
      </c>
      <c r="X143">
        <v>2</v>
      </c>
      <c r="Y143">
        <v>382</v>
      </c>
      <c r="AA143" cm="1">
        <f t="array" ref="AA143">LOG(INDEX(Y$2:Y$158,$Z$3-ROW(W142)+1))</f>
        <v>0.3010299956639812</v>
      </c>
      <c r="AB143">
        <f t="shared" si="5"/>
        <v>0</v>
      </c>
    </row>
    <row r="144" spans="23:28" x14ac:dyDescent="0.25">
      <c r="W144">
        <v>1</v>
      </c>
      <c r="X144">
        <v>1</v>
      </c>
      <c r="Y144">
        <v>382</v>
      </c>
      <c r="AA144" cm="1">
        <f t="array" ref="AA144">LOG(INDEX(Y$2:Y$158,$Z$3-ROW(W143)+1))</f>
        <v>0.3010299956639812</v>
      </c>
      <c r="AB144">
        <f t="shared" si="5"/>
        <v>0</v>
      </c>
    </row>
    <row r="145" spans="23:28" x14ac:dyDescent="0.25">
      <c r="W145">
        <v>2</v>
      </c>
      <c r="X145">
        <v>2</v>
      </c>
      <c r="Y145">
        <v>386</v>
      </c>
      <c r="AA145" cm="1">
        <f t="array" ref="AA145">LOG(INDEX(Y$2:Y$158,$Z$3-ROW(W144)+1))</f>
        <v>0.3010299956639812</v>
      </c>
      <c r="AB145">
        <f t="shared" si="5"/>
        <v>0</v>
      </c>
    </row>
    <row r="146" spans="23:28" x14ac:dyDescent="0.25">
      <c r="W146">
        <v>3</v>
      </c>
      <c r="X146">
        <v>3</v>
      </c>
      <c r="Y146">
        <v>392</v>
      </c>
      <c r="AA146" cm="1">
        <f t="array" ref="AA146">LOG(INDEX(Y$2:Y$158,$Z$3-ROW(W145)+1))</f>
        <v>0.3010299956639812</v>
      </c>
      <c r="AB146">
        <f t="shared" si="5"/>
        <v>0</v>
      </c>
    </row>
    <row r="147" spans="23:28" x14ac:dyDescent="0.25">
      <c r="W147">
        <v>3</v>
      </c>
      <c r="X147">
        <v>3</v>
      </c>
      <c r="Y147">
        <v>393</v>
      </c>
      <c r="AA147" cm="1">
        <f t="array" ref="AA147">LOG(INDEX(Y$2:Y$158,$Z$3-ROW(W146)+1))</f>
        <v>0.3010299956639812</v>
      </c>
      <c r="AB147">
        <f t="shared" si="5"/>
        <v>0</v>
      </c>
    </row>
    <row r="148" spans="23:28" x14ac:dyDescent="0.25">
      <c r="W148">
        <v>1</v>
      </c>
      <c r="X148">
        <v>1</v>
      </c>
      <c r="Y148">
        <v>396</v>
      </c>
      <c r="AA148" cm="1">
        <f t="array" ref="AA148">LOG(INDEX(Y$2:Y$158,$Z$3-ROW(W147)+1))</f>
        <v>0.3010299956639812</v>
      </c>
      <c r="AB148">
        <f t="shared" si="5"/>
        <v>0</v>
      </c>
    </row>
    <row r="149" spans="23:28" x14ac:dyDescent="0.25">
      <c r="W149">
        <v>1</v>
      </c>
      <c r="X149">
        <v>1</v>
      </c>
      <c r="Y149">
        <v>400</v>
      </c>
      <c r="AA149" cm="1">
        <f t="array" ref="AA149">LOG(INDEX(Y$2:Y$158,$Z$3-ROW(W148)+1))</f>
        <v>0.3010299956639812</v>
      </c>
      <c r="AB149">
        <f t="shared" si="5"/>
        <v>0</v>
      </c>
    </row>
    <row r="150" spans="23:28" x14ac:dyDescent="0.25">
      <c r="W150">
        <v>4</v>
      </c>
      <c r="X150">
        <v>4</v>
      </c>
      <c r="Y150">
        <v>400</v>
      </c>
      <c r="AA150" cm="1">
        <f t="array" ref="AA150">LOG(INDEX(Y$2:Y$158,$Z$3-ROW(W149)+1))</f>
        <v>0.3010299956639812</v>
      </c>
      <c r="AB150">
        <f t="shared" si="5"/>
        <v>0</v>
      </c>
    </row>
    <row r="151" spans="23:28" x14ac:dyDescent="0.25">
      <c r="W151">
        <v>1</v>
      </c>
      <c r="X151">
        <v>1</v>
      </c>
      <c r="Y151">
        <v>400</v>
      </c>
      <c r="AA151" cm="1">
        <f t="array" ref="AA151">LOG(INDEX(Y$2:Y$158,$Z$3-ROW(W150)+1))</f>
        <v>0.3010299956639812</v>
      </c>
      <c r="AB151">
        <f t="shared" si="5"/>
        <v>0</v>
      </c>
    </row>
    <row r="152" spans="23:28" x14ac:dyDescent="0.25">
      <c r="W152">
        <v>2</v>
      </c>
      <c r="X152">
        <v>2</v>
      </c>
      <c r="Y152">
        <v>401</v>
      </c>
      <c r="AA152" cm="1">
        <f t="array" ref="AA152">LOG(INDEX(Y$2:Y$158,$Z$3-ROW(W151)+1))</f>
        <v>0</v>
      </c>
      <c r="AB152">
        <f t="shared" si="5"/>
        <v>0</v>
      </c>
    </row>
    <row r="153" spans="23:28" x14ac:dyDescent="0.25">
      <c r="W153">
        <v>2</v>
      </c>
      <c r="X153">
        <v>2</v>
      </c>
      <c r="Y153">
        <v>411</v>
      </c>
      <c r="AA153" cm="1">
        <f t="array" ref="AA153">LOG(INDEX(Y$2:Y$158,$Z$3-ROW(W152)+1))</f>
        <v>0</v>
      </c>
      <c r="AB153">
        <f t="shared" si="5"/>
        <v>0</v>
      </c>
    </row>
    <row r="154" spans="23:28" x14ac:dyDescent="0.25">
      <c r="W154">
        <v>2</v>
      </c>
      <c r="X154">
        <v>2</v>
      </c>
      <c r="Y154">
        <v>418</v>
      </c>
      <c r="AA154" cm="1">
        <f t="array" ref="AA154">LOG(INDEX(Y$2:Y$158,$Z$3-ROW(W153)+1))</f>
        <v>0</v>
      </c>
      <c r="AB154">
        <f t="shared" si="5"/>
        <v>0</v>
      </c>
    </row>
    <row r="155" spans="23:28" x14ac:dyDescent="0.25">
      <c r="W155">
        <v>2</v>
      </c>
      <c r="X155">
        <v>2</v>
      </c>
      <c r="Y155">
        <v>453</v>
      </c>
      <c r="AA155" cm="1">
        <f t="array" ref="AA155">LOG(INDEX(Y$2:Y$158,$Z$3-ROW(W154)+1))</f>
        <v>0</v>
      </c>
      <c r="AB155">
        <f t="shared" si="5"/>
        <v>0</v>
      </c>
    </row>
    <row r="156" spans="23:28" x14ac:dyDescent="0.25">
      <c r="W156">
        <v>2</v>
      </c>
      <c r="X156">
        <v>2</v>
      </c>
      <c r="Y156">
        <v>492</v>
      </c>
      <c r="AA156" cm="1">
        <f t="array" ref="AA156">LOG(INDEX(Y$2:Y$158,$Z$3-ROW(W155)+1))</f>
        <v>0</v>
      </c>
      <c r="AB156">
        <f t="shared" si="5"/>
        <v>1</v>
      </c>
    </row>
    <row r="157" spans="23:28" x14ac:dyDescent="0.25">
      <c r="W157">
        <v>1</v>
      </c>
      <c r="X157">
        <v>1</v>
      </c>
      <c r="Y157">
        <v>553</v>
      </c>
      <c r="AA157" cm="1">
        <f t="array" ref="AA157">LOG(INDEX(Y$2:Y$158,$Z$3-ROW(W156)+1))</f>
        <v>0</v>
      </c>
      <c r="AB157">
        <f t="shared" si="5"/>
        <v>1.0438028100094559</v>
      </c>
    </row>
    <row r="158" spans="23:28" x14ac:dyDescent="0.25">
      <c r="W158">
        <v>1</v>
      </c>
      <c r="X158">
        <v>1</v>
      </c>
      <c r="Y158">
        <v>555</v>
      </c>
      <c r="AA158" cm="1">
        <f t="array" ref="AA158">LOG(INDEX(Y$2:Y$158,$Z$3-ROW(W157)+1))</f>
        <v>0</v>
      </c>
      <c r="AB158">
        <f t="shared" si="5"/>
        <v>1.045185894377433</v>
      </c>
    </row>
  </sheetData>
  <sortState xmlns:xlrd2="http://schemas.microsoft.com/office/spreadsheetml/2017/richdata2" ref="Y2:Y158">
    <sortCondition ref="Y2:Y158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problem53</vt:lpstr>
      <vt:lpstr>工作表1</vt:lpstr>
      <vt:lpstr>工作表2</vt:lpstr>
      <vt:lpstr>工作表3</vt:lpstr>
      <vt:lpstr>工作表4</vt:lpstr>
      <vt:lpstr>工作表5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2026-02-17T11:35:05Z</dcterms:modified>
</cp:coreProperties>
</file>